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11_BC701D09EE405D61B62A2C06E395628B85318624" xr6:coauthVersionLast="47" xr6:coauthVersionMax="47" xr10:uidLastSave="{00000000-0000-0000-0000-000000000000}"/>
  <bookViews>
    <workbookView xWindow="0" yWindow="0" windowWidth="16384" windowHeight="8192" xr2:uid="{00000000-000D-0000-FFFF-FFFF00000000}"/>
  </bookViews>
  <sheets>
    <sheet name="Timesheet" sheetId="1" r:id="rId1"/>
    <sheet name="Code List" sheetId="2" r:id="rId2"/>
  </sheets>
  <definedNames>
    <definedName name="_xlnm._FilterDatabase" localSheetId="1" hidden="1">'Code List'!$A$7:$C$17</definedName>
    <definedName name="CODELIST">OFFSET('Code List'!$A$8,0,0,COUNTA('Code List'!$A$8:$A$60),1)</definedName>
    <definedName name="_xlnm.Print_Area" localSheetId="0">Timesheet!$A$1:$U$41</definedName>
    <definedName name="_xlnm.Print_Area" localSheetId="1">'Code List'!$A$1:$C$17</definedName>
    <definedName name="_xlnm.Print_Titles" localSheetId="1">'Code List'!$7:$7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1" l="1"/>
  <c r="A16" i="1"/>
  <c r="B16" i="1" s="1"/>
  <c r="M15" i="1"/>
  <c r="A15" i="1"/>
  <c r="B15" i="1" s="1"/>
  <c r="M14" i="1"/>
  <c r="A14" i="1"/>
  <c r="B14" i="1" s="1"/>
  <c r="M13" i="1"/>
  <c r="A13" i="1"/>
  <c r="B13" i="1" s="1"/>
  <c r="M12" i="1"/>
  <c r="A12" i="1"/>
  <c r="B12" i="1" s="1"/>
  <c r="M11" i="1"/>
  <c r="A11" i="1"/>
  <c r="B11" i="1" s="1"/>
  <c r="M10" i="1"/>
  <c r="A10" i="1"/>
  <c r="B10" i="1" s="1"/>
  <c r="H6" i="1"/>
  <c r="M17" i="1" l="1"/>
  <c r="F20" i="1" s="1"/>
  <c r="Q16" i="1"/>
  <c r="T10" i="1"/>
  <c r="S10" i="1"/>
  <c r="R10" i="1"/>
  <c r="P10" i="1"/>
  <c r="O10" i="1"/>
  <c r="N10" i="1"/>
  <c r="T11" i="1"/>
  <c r="S11" i="1"/>
  <c r="R11" i="1"/>
  <c r="P11" i="1"/>
  <c r="O11" i="1"/>
  <c r="N11" i="1"/>
  <c r="T12" i="1"/>
  <c r="S12" i="1"/>
  <c r="R12" i="1"/>
  <c r="P12" i="1"/>
  <c r="O12" i="1"/>
  <c r="N12" i="1"/>
  <c r="T13" i="1"/>
  <c r="S13" i="1"/>
  <c r="R13" i="1"/>
  <c r="P13" i="1"/>
  <c r="O13" i="1"/>
  <c r="N13" i="1"/>
  <c r="T14" i="1"/>
  <c r="S14" i="1"/>
  <c r="R14" i="1"/>
  <c r="P14" i="1"/>
  <c r="O14" i="1"/>
  <c r="N14" i="1"/>
  <c r="T15" i="1"/>
  <c r="S15" i="1"/>
  <c r="R15" i="1"/>
  <c r="P15" i="1"/>
  <c r="O15" i="1"/>
  <c r="N15" i="1"/>
  <c r="T16" i="1"/>
  <c r="S16" i="1"/>
  <c r="R16" i="1"/>
  <c r="P16" i="1"/>
  <c r="O16" i="1"/>
  <c r="N16" i="1"/>
  <c r="N17" i="1" l="1"/>
  <c r="O17" i="1"/>
  <c r="P17" i="1"/>
  <c r="F25" i="1" s="1"/>
  <c r="R17" i="1"/>
  <c r="S17" i="1"/>
  <c r="T17" i="1"/>
  <c r="F27" i="1" s="1"/>
  <c r="F24" i="1" l="1"/>
  <c r="F22" i="1"/>
  <c r="F23" i="1"/>
  <c r="F21" i="1"/>
</calcChain>
</file>

<file path=xl/sharedStrings.xml><?xml version="1.0" encoding="utf-8"?>
<sst xmlns="http://schemas.openxmlformats.org/spreadsheetml/2006/main" count="86" uniqueCount="83">
  <si>
    <t>AmeriCloud Telecom Weekly Timesheet - California</t>
  </si>
  <si>
    <t>AmeriCloud Telecom Solutions, LLC     |     Non-Exempt Week     |     CALIFORNIA</t>
  </si>
  <si>
    <t>Submit to: Timesheet@americloudtelecom.com</t>
  </si>
  <si>
    <t>Employee Name:</t>
  </si>
  <si>
    <t>Employee ID:</t>
  </si>
  <si>
    <t>Department:</t>
  </si>
  <si>
    <t>Week Start (Sun):</t>
  </si>
  <si>
    <t>Week End (Sat):</t>
  </si>
  <si>
    <t>Manager:</t>
  </si>
  <si>
    <t>Project Code: the code from your manager (3 letters + 9 digits) or an LBR code from the Code List tab. Times: 24-hour (0900, 1730). Meal time is unpaid; rest breaks up to 10 minutes are paid. Red cells: a break is out of order or outside the shift.</t>
  </si>
  <si>
    <t>Date</t>
  </si>
  <si>
    <t>Day</t>
  </si>
  <si>
    <t>Project Code</t>
  </si>
  <si>
    <t>Shift Start</t>
  </si>
  <si>
    <t>Rest 1 Start</t>
  </si>
  <si>
    <t>Rest 1 End</t>
  </si>
  <si>
    <t>Meal Start</t>
  </si>
  <si>
    <t>Meal End</t>
  </si>
  <si>
    <t>Meal Waiver (&lt;=6h)? Y/N</t>
  </si>
  <si>
    <t>Rest 2 Start</t>
  </si>
  <si>
    <t>Rest 2 End</t>
  </si>
  <si>
    <t>Shift End</t>
  </si>
  <si>
    <t>Hours Worked</t>
  </si>
  <si>
    <t>Reg</t>
  </si>
  <si>
    <t>OT 1.5x</t>
  </si>
  <si>
    <t>OT 2.0x</t>
  </si>
  <si>
    <t>7th Day (auto)</t>
  </si>
  <si>
    <t>Missed Meal Hr</t>
  </si>
  <si>
    <t>Missed Rest Hr</t>
  </si>
  <si>
    <t>Premium Hrs</t>
  </si>
  <si>
    <t>WEEKLY TOTAL</t>
  </si>
  <si>
    <t>WEEKLY SUMMARY  (auto-calculated)</t>
  </si>
  <si>
    <t>Total Hours Worked</t>
  </si>
  <si>
    <t>Regular Hours (max 40/wk)</t>
  </si>
  <si>
    <t>Overtime 1.5x (daily 8-12)</t>
  </si>
  <si>
    <t>Weekly Overtime 1.5x (reg &gt;40)</t>
  </si>
  <si>
    <t>Total Overtime 1.5x</t>
  </si>
  <si>
    <t>Overtime 2.0x (&gt;12/day; 7th-day &gt;8)</t>
  </si>
  <si>
    <t>PTO / Sick / Holiday Hours (enter)</t>
  </si>
  <si>
    <t>Missed-Break Premium Hours (Sec 226.7)</t>
  </si>
  <si>
    <t>EMPLOYEE ATTESTATION</t>
  </si>
  <si>
    <t>I certify that this timesheet accurately reflects all hours I worked and all meal and rest periods I took, waived, or missed. I took every rest and meal break shown, free of duty and uninterrupted. On any day I marked Meal Waiver = Y, my shift was 6 hours or less and I voluntarily chose to waive my meal period. I was not pressured to under-report hours or over-report breaks.</t>
  </si>
  <si>
    <t>Employee Signature:</t>
  </si>
  <si>
    <t>Date:</t>
  </si>
  <si>
    <t>Supervisor Signature:</t>
  </si>
  <si>
    <t>VOLUNTARY MEAL / REST BREAK WAIVER  (complete ONLY if a break was voluntarily skipped)</t>
  </si>
  <si>
    <t>I confirm that I was provided the opportunity to take all required meal and rest breaks but voluntarily chose not to take one or more of them on the dates above. In California, this also documents waiver of the first meal period on a shift of 6 hours or less, or the second meal period on a shift of 12 hours or less. This form is not to be used if a break was not provided by the company.</t>
  </si>
  <si>
    <t>Non-Billable Time Codes</t>
  </si>
  <si>
    <t>AmeriCloud Telecom Solutions, LLC   |   Confidential</t>
  </si>
  <si>
    <t>These codes are for time you do not bill to a customer. On such a day, type the code into the Project Code column on the Timesheet tab. On a normal day, type the project code your manager gave you. Do not type a service code. Expenses go on RAMP, not here.</t>
  </si>
  <si>
    <t>Code</t>
  </si>
  <si>
    <t>What it is</t>
  </si>
  <si>
    <t>When to use it</t>
  </si>
  <si>
    <t>LBR1010</t>
  </si>
  <si>
    <t>Idle / Bench Time</t>
  </si>
  <si>
    <t>Available, unassigned, no active project</t>
  </si>
  <si>
    <t>LBR1020</t>
  </si>
  <si>
    <t>Paid Time Off (PTO)</t>
  </si>
  <si>
    <t>Vacation and personal PTO</t>
  </si>
  <si>
    <t>LBR1030</t>
  </si>
  <si>
    <t>Holiday</t>
  </si>
  <si>
    <t>Company-observed holiday</t>
  </si>
  <si>
    <t>LBR1040</t>
  </si>
  <si>
    <t>Sick / Safe Time</t>
  </si>
  <si>
    <t>Sick or protected safe time</t>
  </si>
  <si>
    <t>LBR1050</t>
  </si>
  <si>
    <t>Bereavement / Jury Duty</t>
  </si>
  <si>
    <t>Bereavement, jury, witness leave</t>
  </si>
  <si>
    <t>LBR1060</t>
  </si>
  <si>
    <t>Training and Certification</t>
  </si>
  <si>
    <t>Time in training or certification</t>
  </si>
  <si>
    <t>LBR1070</t>
  </si>
  <si>
    <t>Non-Billable Travel Time</t>
  </si>
  <si>
    <t>Travel hours not chargeable to a customer. Travel we DO bill is SVC2000.</t>
  </si>
  <si>
    <t>LBR1080</t>
  </si>
  <si>
    <t>Administrative / Internal</t>
  </si>
  <si>
    <t>Internal meetings, admin, timesheets</t>
  </si>
  <si>
    <t>LBR1090</t>
  </si>
  <si>
    <t>Safety / Stand-Down</t>
  </si>
  <si>
    <t>Safety stand-downs, toolbox talks</t>
  </si>
  <si>
    <t>BDV1070</t>
  </si>
  <si>
    <t>RFP</t>
  </si>
  <si>
    <t>Writing or pricing an RFP or proposal, bid site visits and walks. Overhead, not billed.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</si>
</sst>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lt;1]hh:mm;[&lt;100]00&quot;:00&quot;;00\:00"/>
  </numFmts>
  <fonts count="19">
    <font>
      <sz val="11"/>
      <color theme="1"/>
      <name val="Calibri"/>
      <family val="2"/>
      <charset val="1"/>
    </font>
    <font>
      <b/>
      <sz val="16"/>
      <color rgb="FF1F3864"/>
      <name val="Calibri Light"/>
      <charset val="1"/>
    </font>
    <font>
      <sz val="11"/>
      <name val="Cambria"/>
      <charset val="1"/>
    </font>
    <font>
      <sz val="10"/>
      <color rgb="FF595959"/>
      <name val="Calibri"/>
      <charset val="1"/>
    </font>
    <font>
      <b/>
      <sz val="9"/>
      <color rgb="FF1F3864"/>
      <name val="Calibri"/>
      <charset val="1"/>
    </font>
    <font>
      <sz val="9"/>
      <color rgb="FF000000"/>
      <name val="Calibri"/>
      <charset val="1"/>
    </font>
    <font>
      <sz val="8"/>
      <color rgb="FF595959"/>
      <name val="Calibri"/>
      <charset val="1"/>
    </font>
    <font>
      <b/>
      <sz val="8"/>
      <color rgb="FFFFFFFF"/>
      <name val="Calibri"/>
      <charset val="1"/>
    </font>
    <font>
      <sz val="9"/>
      <name val="Calibri"/>
      <charset val="1"/>
    </font>
    <font>
      <b/>
      <sz val="9"/>
      <name val="Calibri"/>
      <charset val="1"/>
    </font>
    <font>
      <b/>
      <sz val="10"/>
      <color rgb="FFFFFFFF"/>
      <name val="Calibri"/>
      <charset val="1"/>
    </font>
    <font>
      <sz val="8"/>
      <color rgb="FF000000"/>
      <name val="Calibri"/>
      <charset val="1"/>
    </font>
    <font>
      <b/>
      <sz val="16"/>
      <color rgb="FF1F3864"/>
      <name val="Calibri Light"/>
    </font>
    <font>
      <b/>
      <sz val="10"/>
      <color rgb="FFFFFFFF"/>
      <name val="Calibri"/>
    </font>
    <font>
      <i/>
      <sz val="10"/>
      <color rgb="FF595959"/>
      <name val="Calibri"/>
    </font>
    <font>
      <b/>
      <sz val="9"/>
      <color rgb="FFD51926"/>
      <name val="Calibri"/>
    </font>
    <font>
      <b/>
      <sz val="10"/>
      <color rgb="FF1F3864"/>
      <name val="Calibri"/>
    </font>
    <font>
      <sz val="10"/>
      <color rgb="FF000000"/>
      <name val="Calibri"/>
    </font>
    <font>
      <sz val="11"/>
      <name val="Calibri"/>
    </font>
  </fonts>
  <fills count="10">
    <fill>
      <patternFill patternType="none"/>
    </fill>
    <fill>
      <patternFill patternType="gray125"/>
    </fill>
    <fill>
      <patternFill patternType="solid">
        <fgColor rgb="FF0F2A5E"/>
        <bgColor rgb="FF1F3864"/>
      </patternFill>
    </fill>
    <fill>
      <patternFill patternType="solid">
        <fgColor rgb="FFF4F6FA"/>
        <bgColor rgb="FFFFFFFF"/>
      </patternFill>
    </fill>
    <fill>
      <patternFill patternType="solid">
        <fgColor rgb="FFFFFFFF"/>
        <bgColor rgb="FFF4F6FA"/>
      </patternFill>
    </fill>
    <fill>
      <patternFill patternType="solid">
        <fgColor rgb="FFD6DCE4"/>
        <bgColor rgb="FFF4F6FA"/>
      </patternFill>
    </fill>
    <fill>
      <patternFill patternType="solid">
        <fgColor rgb="FFD51926"/>
      </patternFill>
    </fill>
    <fill>
      <patternFill patternType="solid">
        <fgColor rgb="FFFBE5D6"/>
      </patternFill>
    </fill>
    <fill>
      <patternFill patternType="solid">
        <fgColor rgb="FF152848"/>
      </patternFill>
    </fill>
    <fill>
      <patternFill patternType="solid">
        <fgColor rgb="FFF2F2F2"/>
      </patternFill>
    </fill>
  </fills>
  <borders count="21">
    <border>
      <left/>
      <right/>
      <top/>
      <bottom/>
      <diagonal/>
    </border>
    <border>
      <left style="thin">
        <color rgb="FFBFBFBF"/>
      </left>
      <right style="thin">
        <color rgb="FFBFBFBF"/>
      </right>
      <top style="thin">
        <color rgb="FFBFBFBF"/>
      </top>
      <bottom style="thin">
        <color rgb="FFBFBFBF"/>
      </bottom>
      <diagonal/>
    </border>
    <border>
      <left style="thin">
        <color rgb="FF8EA9CE"/>
      </left>
      <right style="thin">
        <color rgb="FF8EA9CE"/>
      </right>
      <top style="thin">
        <color rgb="FF8EA9CE"/>
      </top>
      <bottom style="thin">
        <color rgb="FF8EA9CE"/>
      </bottom>
      <diagonal/>
    </border>
    <border>
      <left/>
      <right/>
      <top style="thin">
        <color rgb="FFBFBFBF"/>
      </top>
      <bottom style="thin">
        <color rgb="FFBFBFBF"/>
      </bottom>
      <diagonal/>
    </border>
    <border>
      <left/>
      <right/>
      <top style="thin">
        <color rgb="FF8EA9CE"/>
      </top>
      <bottom style="thin">
        <color rgb="FF8EA9CE"/>
      </bottom>
      <diagonal/>
    </border>
    <border>
      <left style="medium">
        <color rgb="FF1F3864"/>
      </left>
      <right style="thin">
        <color rgb="FFBFBFBF"/>
      </right>
      <top style="thin">
        <color rgb="FFBFBFBF"/>
      </top>
      <bottom style="thin">
        <color rgb="FFBFBFBF"/>
      </bottom>
      <diagonal/>
    </border>
    <border>
      <left style="medium">
        <color rgb="FF1F3864"/>
      </left>
      <right style="thin">
        <color rgb="FF8EA9CE"/>
      </right>
      <top style="thin">
        <color rgb="FF8EA9CE"/>
      </top>
      <bottom style="thin">
        <color rgb="FF8EA9CE"/>
      </bottom>
      <diagonal/>
    </border>
    <border>
      <left/>
      <right/>
      <top style="medium">
        <color rgb="FF1F3864"/>
      </top>
      <bottom/>
      <diagonal/>
    </border>
    <border>
      <left/>
      <right style="medium">
        <color rgb="FF1F3864"/>
      </right>
      <top style="medium">
        <color rgb="FF1F3864"/>
      </top>
      <bottom/>
      <diagonal/>
    </border>
    <border>
      <left/>
      <right/>
      <top/>
      <bottom style="thin">
        <color auto="1"/>
      </bottom>
      <diagonal/>
    </border>
    <border>
      <left/>
      <right style="medium">
        <color rgb="FF1F3864"/>
      </right>
      <top/>
      <bottom/>
      <diagonal/>
    </border>
    <border>
      <left style="medium">
        <color rgb="FF1F3864"/>
      </left>
      <right/>
      <top/>
      <bottom style="medium">
        <color rgb="FF1F3864"/>
      </bottom>
      <diagonal/>
    </border>
    <border>
      <left/>
      <right style="medium">
        <color rgb="FF1F3864"/>
      </right>
      <top/>
      <bottom style="medium">
        <color rgb="FF1F3864"/>
      </bottom>
      <diagonal/>
    </border>
    <border>
      <left/>
      <right style="thin">
        <color rgb="FFBFBFBF"/>
      </right>
      <top style="thin">
        <color rgb="FFBFBFBF"/>
      </top>
      <bottom style="thin">
        <color rgb="FFBFBFBF"/>
      </bottom>
      <diagonal/>
    </border>
    <border>
      <left/>
      <right style="thin">
        <color rgb="FF8EA9CE"/>
      </right>
      <top style="thin">
        <color rgb="FF8EA9CE"/>
      </top>
      <bottom style="thin">
        <color rgb="FF8EA9CE"/>
      </bottom>
      <diagonal/>
    </border>
    <border>
      <left/>
      <right/>
      <top/>
      <bottom/>
      <diagonal/>
    </border>
    <border>
      <left style="medium">
        <color rgb="FF1F3864"/>
      </left>
      <right/>
      <top/>
      <bottom/>
      <diagonal/>
    </border>
    <border>
      <left style="medium">
        <color rgb="FF1F3864"/>
      </left>
      <right/>
      <top style="medium">
        <color rgb="FF1F3864"/>
      </top>
      <bottom/>
      <diagonal/>
    </border>
    <border>
      <left/>
      <right/>
      <top/>
      <bottom style="medium">
        <color rgb="FF1F3864"/>
      </bottom>
      <diagonal/>
    </border>
    <border>
      <left/>
      <right/>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1">
    <xf numFmtId="0" fontId="0" fillId="0" borderId="0" xfId="0"/>
    <xf numFmtId="0" fontId="2" fillId="0" borderId="0" xfId="0" applyFont="1"/>
    <xf numFmtId="0" fontId="2" fillId="0" borderId="0" xfId="0" applyFont="1" applyProtection="1">
      <protection locked="0"/>
    </xf>
    <xf numFmtId="164" fontId="2" fillId="0" borderId="0" xfId="0" applyNumberFormat="1" applyFont="1" applyProtection="1">
      <protection locked="0"/>
    </xf>
    <xf numFmtId="164" fontId="2" fillId="0" borderId="0" xfId="0" applyNumberFormat="1" applyFont="1" applyProtection="1">
      <protection hidden="1"/>
    </xf>
    <xf numFmtId="0" fontId="7" fillId="2" borderId="1" xfId="0" applyFont="1" applyFill="1" applyBorder="1" applyAlignment="1">
      <alignment horizontal="center" vertical="center" wrapText="1"/>
    </xf>
    <xf numFmtId="0" fontId="8" fillId="3" borderId="1" xfId="0" applyFont="1" applyFill="1" applyBorder="1" applyAlignment="1" applyProtection="1">
      <alignment horizontal="center"/>
      <protection hidden="1"/>
    </xf>
    <xf numFmtId="0" fontId="8" fillId="3" borderId="1" xfId="0" applyFont="1" applyFill="1" applyBorder="1" applyAlignment="1" applyProtection="1">
      <alignment horizontal="center"/>
      <protection locked="0"/>
    </xf>
    <xf numFmtId="165" fontId="8" fillId="3" borderId="1" xfId="0" applyNumberFormat="1" applyFont="1" applyFill="1" applyBorder="1" applyAlignment="1" applyProtection="1">
      <alignment horizontal="center"/>
      <protection locked="0"/>
    </xf>
    <xf numFmtId="2" fontId="8" fillId="3" borderId="1" xfId="0" applyNumberFormat="1" applyFont="1" applyFill="1" applyBorder="1" applyAlignment="1" applyProtection="1">
      <alignment horizontal="center"/>
      <protection hidden="1"/>
    </xf>
    <xf numFmtId="0" fontId="8" fillId="3" borderId="1" xfId="0" applyFont="1" applyFill="1" applyBorder="1" applyAlignment="1">
      <alignment horizontal="center"/>
    </xf>
    <xf numFmtId="0" fontId="8" fillId="4" borderId="1" xfId="0" applyFont="1" applyFill="1" applyBorder="1" applyAlignment="1" applyProtection="1">
      <alignment horizontal="center"/>
      <protection hidden="1"/>
    </xf>
    <xf numFmtId="0" fontId="8" fillId="4" borderId="1" xfId="0" applyFont="1" applyFill="1" applyBorder="1" applyAlignment="1" applyProtection="1">
      <alignment horizontal="center"/>
      <protection locked="0"/>
    </xf>
    <xf numFmtId="165" fontId="8" fillId="4" borderId="1" xfId="0" applyNumberFormat="1" applyFont="1" applyFill="1" applyBorder="1" applyAlignment="1" applyProtection="1">
      <alignment horizontal="center"/>
      <protection locked="0"/>
    </xf>
    <xf numFmtId="2" fontId="8" fillId="4" borderId="1" xfId="0" applyNumberFormat="1" applyFont="1" applyFill="1" applyBorder="1" applyAlignment="1" applyProtection="1">
      <alignment horizontal="center"/>
      <protection hidden="1"/>
    </xf>
    <xf numFmtId="0" fontId="8" fillId="4" borderId="1" xfId="0" applyFont="1" applyFill="1" applyBorder="1" applyAlignment="1">
      <alignment horizontal="center"/>
    </xf>
    <xf numFmtId="2" fontId="9" fillId="5" borderId="1" xfId="0" applyNumberFormat="1" applyFont="1" applyFill="1" applyBorder="1" applyProtection="1">
      <protection hidden="1"/>
    </xf>
    <xf numFmtId="0" fontId="0" fillId="5" borderId="1" xfId="0" applyFill="1" applyBorder="1"/>
    <xf numFmtId="0" fontId="0" fillId="0" borderId="0" xfId="0" applyProtection="1">
      <protection locked="0"/>
    </xf>
    <xf numFmtId="0" fontId="7" fillId="2" borderId="5" xfId="0" applyFont="1" applyFill="1" applyBorder="1" applyAlignment="1">
      <alignment horizontal="center" vertical="center" wrapText="1"/>
    </xf>
    <xf numFmtId="164" fontId="8" fillId="3" borderId="5" xfId="0" applyNumberFormat="1" applyFont="1" applyFill="1" applyBorder="1" applyAlignment="1" applyProtection="1">
      <alignment horizontal="center"/>
      <protection hidden="1"/>
    </xf>
    <xf numFmtId="164" fontId="8" fillId="4" borderId="5" xfId="0" applyNumberFormat="1" applyFont="1" applyFill="1" applyBorder="1" applyAlignment="1" applyProtection="1">
      <alignment horizontal="center"/>
      <protection hidden="1"/>
    </xf>
    <xf numFmtId="0" fontId="0" fillId="0" borderId="8" xfId="0" applyBorder="1"/>
    <xf numFmtId="0" fontId="2" fillId="0" borderId="11" xfId="0" applyFont="1" applyBorder="1"/>
    <xf numFmtId="0" fontId="2" fillId="0" borderId="18" xfId="0" applyFont="1" applyBorder="1"/>
    <xf numFmtId="0" fontId="0" fillId="0" borderId="12" xfId="0" applyBorder="1"/>
    <xf numFmtId="0" fontId="0" fillId="6" borderId="0" xfId="0" applyFill="1"/>
    <xf numFmtId="0" fontId="16" fillId="0" borderId="20" xfId="0" applyFont="1" applyBorder="1" applyAlignment="1">
      <alignment vertical="top" wrapText="1"/>
    </xf>
    <xf numFmtId="0" fontId="17" fillId="0" borderId="20" xfId="0" applyFont="1" applyBorder="1" applyAlignment="1">
      <alignment vertical="top" wrapText="1"/>
    </xf>
    <xf numFmtId="0" fontId="16" fillId="9" borderId="20" xfId="0" applyFont="1" applyFill="1" applyBorder="1" applyAlignment="1">
      <alignment vertical="top" wrapText="1"/>
    </xf>
    <xf numFmtId="0" fontId="17" fillId="9" borderId="20" xfId="0" applyFont="1" applyFill="1" applyBorder="1" applyAlignment="1">
      <alignment vertical="top" wrapText="1"/>
    </xf>
    <xf numFmtId="0" fontId="2" fillId="0" borderId="16" xfId="0" applyFont="1" applyBorder="1"/>
    <xf numFmtId="0" fontId="0" fillId="0" borderId="10" xfId="0" applyBorder="1"/>
    <xf numFmtId="0" fontId="0" fillId="0" borderId="16" xfId="0" applyBorder="1"/>
    <xf numFmtId="0" fontId="2" fillId="0" borderId="15" xfId="0" applyFont="1" applyBorder="1"/>
    <xf numFmtId="0" fontId="2" fillId="0" borderId="18" xfId="0" applyFont="1" applyBorder="1" applyProtection="1">
      <protection locked="0"/>
    </xf>
    <xf numFmtId="0" fontId="0" fillId="0" borderId="15" xfId="0" applyBorder="1"/>
    <xf numFmtId="0" fontId="2" fillId="0" borderId="15" xfId="0" applyFont="1" applyBorder="1" applyProtection="1">
      <protection locked="0"/>
    </xf>
    <xf numFmtId="0" fontId="13" fillId="8" borderId="20" xfId="0" applyFont="1" applyFill="1" applyBorder="1" applyAlignment="1">
      <alignment horizontal="center" vertical="center" wrapText="1"/>
    </xf>
    <xf numFmtId="0" fontId="18" fillId="0" borderId="15" xfId="0" applyFont="1" applyBorder="1"/>
    <xf numFmtId="0" fontId="1" fillId="0" borderId="17" xfId="0" applyFont="1" applyBorder="1" applyAlignment="1">
      <alignment horizontal="left" vertical="center"/>
    </xf>
    <xf numFmtId="2" fontId="8" fillId="4" borderId="2" xfId="0" applyNumberFormat="1" applyFont="1" applyFill="1" applyBorder="1" applyAlignment="1" applyProtection="1">
      <alignment horizontal="center" vertical="center"/>
      <protection hidden="1"/>
    </xf>
    <xf numFmtId="2" fontId="8" fillId="3" borderId="2" xfId="0" applyNumberFormat="1" applyFont="1" applyFill="1" applyBorder="1" applyAlignment="1" applyProtection="1">
      <alignment horizontal="center" vertical="center"/>
      <protection hidden="1"/>
    </xf>
    <xf numFmtId="0" fontId="4" fillId="0" borderId="0" xfId="0" applyFont="1" applyAlignment="1">
      <alignment horizontal="right" vertical="center"/>
    </xf>
    <xf numFmtId="0" fontId="5" fillId="0" borderId="19" xfId="0" applyFont="1" applyBorder="1" applyAlignment="1" applyProtection="1">
      <alignment horizontal="center" vertical="center"/>
      <protection locked="0"/>
    </xf>
    <xf numFmtId="0" fontId="3" fillId="0" borderId="16" xfId="0" applyFont="1" applyBorder="1" applyAlignment="1">
      <alignment horizontal="left" vertical="center"/>
    </xf>
    <xf numFmtId="0" fontId="3" fillId="0" borderId="0" xfId="0" applyFont="1" applyAlignment="1">
      <alignment horizontal="right" vertical="center" indent="2"/>
    </xf>
    <xf numFmtId="0" fontId="5" fillId="0" borderId="19" xfId="0" applyFont="1" applyBorder="1" applyAlignment="1" applyProtection="1">
      <alignment horizontal="left" vertical="center"/>
      <protection locked="0"/>
    </xf>
    <xf numFmtId="0" fontId="4" fillId="0" borderId="16" xfId="0" applyFont="1" applyBorder="1" applyAlignment="1">
      <alignment horizontal="right" vertical="center"/>
    </xf>
    <xf numFmtId="0" fontId="8" fillId="4" borderId="6" xfId="0" applyFont="1" applyFill="1" applyBorder="1" applyAlignment="1">
      <alignment horizontal="left" vertical="center" indent="1"/>
    </xf>
    <xf numFmtId="0" fontId="8" fillId="3" borderId="6" xfId="0" applyFont="1" applyFill="1" applyBorder="1" applyAlignment="1">
      <alignment horizontal="left" vertical="center" indent="1"/>
    </xf>
    <xf numFmtId="0" fontId="11" fillId="0" borderId="16" xfId="0" applyFont="1" applyBorder="1" applyAlignment="1">
      <alignment horizontal="left" vertical="top" wrapText="1"/>
    </xf>
    <xf numFmtId="0" fontId="6" fillId="0" borderId="16" xfId="0" applyFont="1" applyBorder="1" applyAlignment="1">
      <alignment horizontal="left" vertical="top" wrapText="1"/>
    </xf>
    <xf numFmtId="0" fontId="9" fillId="5" borderId="5" xfId="0" applyFont="1" applyFill="1" applyBorder="1" applyAlignment="1">
      <alignment horizontal="right"/>
    </xf>
    <xf numFmtId="0" fontId="4" fillId="0" borderId="15" xfId="0" applyFont="1" applyBorder="1" applyAlignment="1">
      <alignment horizontal="right" vertical="center"/>
    </xf>
    <xf numFmtId="164" fontId="5" fillId="0" borderId="19" xfId="0" applyNumberFormat="1"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8" fillId="3" borderId="2" xfId="0" applyFont="1" applyFill="1" applyBorder="1" applyAlignment="1" applyProtection="1">
      <alignment horizontal="center" vertical="center"/>
      <protection locked="0"/>
    </xf>
    <xf numFmtId="164" fontId="5" fillId="0" borderId="19" xfId="0" applyNumberFormat="1" applyFont="1" applyBorder="1" applyAlignment="1" applyProtection="1">
      <alignment horizontal="center" vertical="center"/>
      <protection hidden="1"/>
    </xf>
    <xf numFmtId="0" fontId="15" fillId="7" borderId="0" xfId="0" applyFont="1" applyFill="1" applyAlignment="1">
      <alignment vertical="center" wrapText="1"/>
    </xf>
    <xf numFmtId="0" fontId="0" fillId="0" borderId="7" xfId="0" applyBorder="1" applyAlignment="1"/>
    <xf numFmtId="0" fontId="0" fillId="0" borderId="0" xfId="0" applyAlignment="1"/>
    <xf numFmtId="0" fontId="0" fillId="0" borderId="19" xfId="0" applyBorder="1" applyAlignment="1" applyProtection="1">
      <protection locked="0"/>
    </xf>
    <xf numFmtId="0" fontId="0" fillId="0" borderId="19" xfId="0" applyBorder="1" applyAlignment="1" applyProtection="1">
      <protection hidden="1"/>
    </xf>
    <xf numFmtId="0" fontId="2" fillId="0" borderId="0" xfId="0" applyFont="1" applyAlignment="1"/>
    <xf numFmtId="0" fontId="0" fillId="0" borderId="3" xfId="0" applyBorder="1" applyAlignment="1"/>
    <xf numFmtId="0" fontId="0" fillId="0" borderId="13" xfId="0" applyBorder="1" applyAlignment="1"/>
    <xf numFmtId="0" fontId="10" fillId="2" borderId="6" xfId="0" applyFont="1" applyFill="1" applyBorder="1" applyAlignment="1"/>
    <xf numFmtId="0" fontId="0" fillId="0" borderId="4" xfId="0" applyBorder="1" applyAlignment="1"/>
    <xf numFmtId="0" fontId="0" fillId="0" borderId="14" xfId="0" applyBorder="1" applyAlignment="1"/>
    <xf numFmtId="0" fontId="0" fillId="0" borderId="4" xfId="0" applyBorder="1" applyAlignment="1" applyProtection="1">
      <protection hidden="1"/>
    </xf>
    <xf numFmtId="0" fontId="0" fillId="0" borderId="14" xfId="0" applyBorder="1" applyAlignment="1" applyProtection="1">
      <protection hidden="1"/>
    </xf>
    <xf numFmtId="0" fontId="0" fillId="0" borderId="4" xfId="0" applyBorder="1" applyAlignment="1" applyProtection="1">
      <protection locked="0"/>
    </xf>
    <xf numFmtId="0" fontId="0" fillId="0" borderId="14" xfId="0" applyBorder="1" applyAlignment="1" applyProtection="1">
      <protection locked="0"/>
    </xf>
    <xf numFmtId="0" fontId="10" fillId="2" borderId="16" xfId="0" applyFont="1" applyFill="1" applyBorder="1" applyAlignment="1"/>
    <xf numFmtId="0" fontId="0" fillId="0" borderId="16" xfId="0" applyBorder="1" applyAlignment="1"/>
    <xf numFmtId="0" fontId="2" fillId="0" borderId="9" xfId="0" applyFont="1" applyBorder="1" applyAlignment="1" applyProtection="1">
      <protection locked="0"/>
    </xf>
    <xf numFmtId="0" fontId="0" fillId="0" borderId="9" xfId="0" applyBorder="1" applyAlignment="1" applyProtection="1">
      <protection locked="0"/>
    </xf>
    <xf numFmtId="0" fontId="0" fillId="0" borderId="0" xfId="0" applyAlignment="1" applyProtection="1">
      <protection locked="0"/>
    </xf>
    <xf numFmtId="0" fontId="12" fillId="0" borderId="0" xfId="0" applyFont="1" applyAlignment="1"/>
    <xf numFmtId="0" fontId="14" fillId="0" borderId="0" xfId="0" applyFont="1" applyAlignment="1"/>
  </cellXfs>
  <cellStyles count="1">
    <cellStyle name="Normal"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CE"/>
      <rgbColor rgb="FF993366"/>
      <rgbColor rgb="FFF4F6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FC7CE"/>
      <rgbColor rgb="FF3366FF"/>
      <rgbColor rgb="FF33CCCC"/>
      <rgbColor rgb="FF99CC00"/>
      <rgbColor rgb="FFFFCC00"/>
      <rgbColor rgb="FFFF9900"/>
      <rgbColor rgb="FFFF6600"/>
      <rgbColor rgb="FF595959"/>
      <rgbColor rgb="FF969696"/>
      <rgbColor rgb="FF0F2A5E"/>
      <rgbColor rgb="FF339966"/>
      <rgbColor rgb="FF003300"/>
      <rgbColor rgb="FF333300"/>
      <rgbColor rgb="FF9933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0</xdr:colOff>
      <xdr:row>0</xdr:row>
      <xdr:rowOff>0</xdr:rowOff>
    </xdr:from>
    <xdr:ext cx="1600200" cy="523317"/>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46"/>
  <sheetViews>
    <sheetView showGridLines="0" tabSelected="1" zoomScaleNormal="100" workbookViewId="0">
      <selection activeCell="C10" sqref="C10"/>
    </sheetView>
  </sheetViews>
  <sheetFormatPr defaultColWidth="13" defaultRowHeight="15"/>
  <cols>
    <col min="1" max="1" width="11" customWidth="1"/>
    <col min="2" max="2" width="6" customWidth="1"/>
    <col min="3" max="3" width="26" customWidth="1"/>
    <col min="4" max="8" width="10" customWidth="1"/>
    <col min="9" max="9" width="13" customWidth="1"/>
    <col min="10" max="12" width="10" customWidth="1"/>
    <col min="13" max="13" width="11.28515625" customWidth="1"/>
    <col min="14" max="17" width="7" customWidth="1"/>
    <col min="18" max="20" width="12" customWidth="1"/>
    <col min="21" max="16383" width="2.42578125" customWidth="1"/>
  </cols>
  <sheetData>
    <row r="1" spans="1:21" ht="15" customHeight="1">
      <c r="A1" s="40" t="s">
        <v>0</v>
      </c>
      <c r="B1" s="60"/>
      <c r="C1" s="60"/>
      <c r="D1" s="60"/>
      <c r="E1" s="60"/>
      <c r="F1" s="60"/>
      <c r="G1" s="60"/>
      <c r="H1" s="60"/>
      <c r="I1" s="60"/>
      <c r="J1" s="60"/>
      <c r="K1" s="60"/>
      <c r="L1" s="60"/>
      <c r="M1" s="60"/>
      <c r="N1" s="60"/>
      <c r="O1" s="60"/>
      <c r="P1" s="60"/>
      <c r="Q1" s="60"/>
      <c r="R1" s="60"/>
      <c r="S1" s="60"/>
      <c r="T1" s="60"/>
      <c r="U1" s="22"/>
    </row>
    <row r="2" spans="1:21" ht="2.25" customHeight="1">
      <c r="A2" s="31"/>
      <c r="B2" s="1"/>
      <c r="C2" s="1"/>
      <c r="D2" s="1"/>
      <c r="E2" s="1"/>
      <c r="F2" s="1"/>
      <c r="G2" s="1"/>
      <c r="H2" s="1"/>
      <c r="I2" s="1"/>
      <c r="J2" s="1"/>
      <c r="K2" s="1"/>
      <c r="L2" s="1"/>
      <c r="M2" s="1"/>
      <c r="N2" s="1"/>
      <c r="O2" s="1"/>
      <c r="P2" s="1"/>
      <c r="Q2" s="1"/>
      <c r="R2" s="1"/>
      <c r="S2" s="1"/>
      <c r="T2" s="1"/>
      <c r="U2" s="32"/>
    </row>
    <row r="3" spans="1:21" ht="15" customHeight="1">
      <c r="A3" s="45" t="s">
        <v>1</v>
      </c>
      <c r="B3" s="61"/>
      <c r="C3" s="61"/>
      <c r="D3" s="61"/>
      <c r="E3" s="61"/>
      <c r="F3" s="61"/>
      <c r="G3" s="61"/>
      <c r="H3" s="61"/>
      <c r="I3" s="61"/>
      <c r="J3" s="61"/>
      <c r="K3" s="61"/>
      <c r="L3" s="46" t="s">
        <v>2</v>
      </c>
      <c r="M3" s="46"/>
      <c r="N3" s="46"/>
      <c r="O3" s="46"/>
      <c r="P3" s="46"/>
      <c r="Q3" s="46"/>
      <c r="U3" s="32"/>
    </row>
    <row r="4" spans="1:21">
      <c r="A4" s="31"/>
      <c r="B4" s="1"/>
      <c r="C4" s="1"/>
      <c r="D4" s="1"/>
      <c r="E4" s="1"/>
      <c r="F4" s="1"/>
      <c r="G4" s="1"/>
      <c r="H4" s="1"/>
      <c r="I4" s="1"/>
      <c r="J4" s="1"/>
      <c r="K4" s="1"/>
      <c r="L4" s="1"/>
      <c r="M4" s="1"/>
      <c r="N4" s="1"/>
      <c r="O4" s="1"/>
      <c r="P4" s="1"/>
      <c r="Q4" s="1"/>
      <c r="R4" s="1"/>
      <c r="S4" s="1"/>
      <c r="T4" s="1"/>
      <c r="U4" s="32"/>
    </row>
    <row r="5" spans="1:21" ht="15" customHeight="1">
      <c r="A5" s="48" t="s">
        <v>3</v>
      </c>
      <c r="B5" s="61"/>
      <c r="C5" s="47"/>
      <c r="D5" s="62"/>
      <c r="E5" s="1"/>
      <c r="F5" s="43" t="s">
        <v>4</v>
      </c>
      <c r="G5" s="61"/>
      <c r="H5" s="47"/>
      <c r="I5" s="62"/>
      <c r="J5" s="62"/>
      <c r="K5" s="43" t="s">
        <v>5</v>
      </c>
      <c r="L5" s="61"/>
      <c r="M5" s="44"/>
      <c r="N5" s="62"/>
      <c r="O5" s="62"/>
      <c r="P5" s="62"/>
      <c r="U5" s="32"/>
    </row>
    <row r="6" spans="1:21" ht="15" customHeight="1">
      <c r="A6" s="48" t="s">
        <v>6</v>
      </c>
      <c r="B6" s="61"/>
      <c r="C6" s="55"/>
      <c r="D6" s="62"/>
      <c r="E6" s="1"/>
      <c r="F6" s="43" t="s">
        <v>7</v>
      </c>
      <c r="G6" s="61"/>
      <c r="H6" s="58" t="str">
        <f>IF(C6="","",C6+6)</f>
        <v/>
      </c>
      <c r="I6" s="63"/>
      <c r="J6" s="63"/>
      <c r="K6" s="43" t="s">
        <v>8</v>
      </c>
      <c r="L6" s="64"/>
      <c r="M6" s="44"/>
      <c r="N6" s="62"/>
      <c r="O6" s="62"/>
      <c r="P6" s="62"/>
      <c r="R6" s="18"/>
      <c r="S6" s="18"/>
      <c r="T6" s="18"/>
      <c r="U6" s="32"/>
    </row>
    <row r="7" spans="1:21" ht="6" customHeight="1">
      <c r="A7" s="31"/>
      <c r="B7" s="1"/>
      <c r="C7" s="3"/>
      <c r="D7" s="1"/>
      <c r="E7" s="1"/>
      <c r="F7" s="1"/>
      <c r="G7" s="4"/>
      <c r="H7" s="4"/>
      <c r="I7" s="1"/>
      <c r="J7" s="1"/>
      <c r="K7" s="1"/>
      <c r="L7" s="1"/>
      <c r="M7" s="1"/>
      <c r="N7" s="2"/>
      <c r="O7" s="1"/>
      <c r="P7" s="1"/>
      <c r="Q7" s="1"/>
      <c r="R7" s="1"/>
      <c r="S7" s="1"/>
      <c r="T7" s="1"/>
      <c r="U7" s="32"/>
    </row>
    <row r="8" spans="1:21" ht="15" customHeight="1">
      <c r="A8" s="52" t="s">
        <v>9</v>
      </c>
      <c r="B8" s="61"/>
      <c r="C8" s="61"/>
      <c r="D8" s="61"/>
      <c r="E8" s="61"/>
      <c r="F8" s="61"/>
      <c r="G8" s="61"/>
      <c r="H8" s="61"/>
      <c r="I8" s="61"/>
      <c r="J8" s="61"/>
      <c r="K8" s="61"/>
      <c r="L8" s="61"/>
      <c r="M8" s="61"/>
      <c r="N8" s="61"/>
      <c r="O8" s="61"/>
      <c r="P8" s="61"/>
      <c r="Q8" s="61"/>
      <c r="R8" s="61"/>
      <c r="S8" s="61"/>
      <c r="T8" s="61"/>
      <c r="U8" s="32"/>
    </row>
    <row r="9" spans="1:21">
      <c r="A9" s="19" t="s">
        <v>10</v>
      </c>
      <c r="B9" s="5" t="s">
        <v>11</v>
      </c>
      <c r="C9" s="5" t="s">
        <v>12</v>
      </c>
      <c r="D9" s="5" t="s">
        <v>13</v>
      </c>
      <c r="E9" s="5" t="s">
        <v>14</v>
      </c>
      <c r="F9" s="5" t="s">
        <v>15</v>
      </c>
      <c r="G9" s="5" t="s">
        <v>16</v>
      </c>
      <c r="H9" s="5" t="s">
        <v>17</v>
      </c>
      <c r="I9" s="5" t="s">
        <v>18</v>
      </c>
      <c r="J9" s="5" t="s">
        <v>19</v>
      </c>
      <c r="K9" s="5" t="s">
        <v>20</v>
      </c>
      <c r="L9" s="5" t="s">
        <v>21</v>
      </c>
      <c r="M9" s="5" t="s">
        <v>22</v>
      </c>
      <c r="N9" s="5" t="s">
        <v>23</v>
      </c>
      <c r="O9" s="5" t="s">
        <v>24</v>
      </c>
      <c r="P9" s="5" t="s">
        <v>25</v>
      </c>
      <c r="Q9" s="5" t="s">
        <v>26</v>
      </c>
      <c r="R9" s="5" t="s">
        <v>27</v>
      </c>
      <c r="S9" s="5" t="s">
        <v>28</v>
      </c>
      <c r="T9" s="5" t="s">
        <v>29</v>
      </c>
      <c r="U9" s="32"/>
    </row>
    <row r="10" spans="1:21" ht="15" customHeight="1">
      <c r="A10" s="20" t="str">
        <f>IF($C$6="","",$C$6+0)</f>
        <v/>
      </c>
      <c r="B10" s="6" t="str">
        <f>IF(A10="","",TEXT(A10,"ddd"))</f>
        <v/>
      </c>
      <c r="C10" s="7"/>
      <c r="D10" s="8"/>
      <c r="E10" s="8"/>
      <c r="F10" s="8"/>
      <c r="G10" s="8"/>
      <c r="H10" s="8"/>
      <c r="I10" s="7"/>
      <c r="J10" s="8"/>
      <c r="K10" s="8"/>
      <c r="L10" s="8"/>
      <c r="M10" s="9" t="str">
        <f>IF(OR(D10="",L10=""),"",IF(OR(AND(G10&lt;&gt;"",H10&lt;&gt;"",MOD(IF(ISNUMBER(H10),IF(H10&lt;1,H10,IF(H10&lt;100,TIME(H10,0,0),TIME(INT(H10/100),MOD(H10,100),0))),0)-IF(ISNUMBER(D10),IF(D10&lt;1,D10,IF(D10&lt;100,TIME(D10,0,0),TIME(INT(D10/100),MOD(D10,100),0))),0),1)&lt;=MOD(IF(ISNUMBER(G10),IF(G10&lt;1,G10,IF(G10&lt;100,TIME(G10,0,0),TIME(INT(G10/100),MOD(G10,100),0))),0)-IF(ISNUMBER(D10),IF(D10&lt;1,D10,IF(D10&lt;100,TIME(D10,0,0),TIME(INT(D10/100),MOD(D10,100),0))),0),1)),AND(E10&lt;&gt;"",F10&lt;&gt;"",MOD(IF(ISNUMBER(F10),IF(F10&lt;1,F10,IF(F10&lt;100,TIME(F10,0,0),TIME(INT(F10/100),MOD(F10,100),0))),0)-IF(ISNUMBER(D10),IF(D10&lt;1,D10,IF(D10&lt;100,TIME(D10,0,0),TIME(INT(D10/100),MOD(D10,100),0))),0),1)&lt;=MOD(IF(ISNUMBER(E10),IF(E10&lt;1,E10,IF(E10&lt;100,TIME(E10,0,0),TIME(INT(E10/100),MOD(E10,100),0))),0)-IF(ISNUMBER(D10),IF(D10&lt;1,D10,IF(D10&lt;100,TIME(D10,0,0),TIME(INT(D10/100),MOD(D10,100),0))),0),1)),AND(J10&lt;&gt;"",K10&lt;&gt;"",MOD(IF(ISNUMBER(K10),IF(K10&lt;1,K10,IF(K10&lt;100,TIME(K10,0,0),TIME(INT(K10/100),MOD(K10,100),0))),0)-IF(ISNUMBER(D10),IF(D10&lt;1,D10,IF(D10&lt;100,TIME(D10,0,0),TIME(INT(D10/100),MOD(D10,100),0))),0),1)&lt;=MOD(IF(ISNUMBER(J10),IF(J10&lt;1,J10,IF(J10&lt;100,TIME(J10,0,0),TIME(INT(J10/100),MOD(J10,100),0))),0)-IF(ISNUMBER(D10),IF(D10&lt;1,D10,IF(D10&lt;100,TIME(D10,0,0),TIME(INT(D10/100),MOD(D10,100),0))),0),1)),AND(H10&lt;&gt;"",MOD(IF(ISNUMBER(H10),IF(H10&lt;1,H10,IF(H10&lt;100,TIME(H10,0,0),TIME(INT(H10/100),MOD(H10,100),0))),0)-IF(ISNUMBER(D10),IF(D10&lt;1,D10,IF(D10&lt;100,TIME(D10,0,0),TIME(INT(D10/100),MOD(D10,100),0))),0),1)&gt;MOD(IF(ISNUMBER(L10),IF(L10&lt;1,L10,IF(L10&lt;100,TIME(L10,0,0),TIME(INT(L10/100),MOD(L10,100),0))),0)-IF(ISNUMBER(D10),IF(D10&lt;1,D10,IF(D10&lt;100,TIME(D10,0,0),TIME(INT(D10/100),MOD(D10,100),0))),0),1)),AND(F10&lt;&gt;"",MOD(IF(ISNUMBER(F10),IF(F10&lt;1,F10,IF(F10&lt;100,TIME(F10,0,0),TIME(INT(F10/100),MOD(F10,100),0))),0)-IF(ISNUMBER(D10),IF(D10&lt;1,D10,IF(D10&lt;100,TIME(D10,0,0),TIME(INT(D10/100),MOD(D10,100),0))),0),1)&gt;MOD(IF(ISNUMBER(L10),IF(L10&lt;1,L10,IF(L10&lt;100,TIME(L10,0,0),TIME(INT(L10/100),MOD(L10,100),0))),0)-IF(ISNUMBER(D10),IF(D10&lt;1,D10,IF(D10&lt;100,TIME(D10,0,0),TIME(INT(D10/100),MOD(D10,100),0))),0),1)),AND(K10&lt;&gt;"",MOD(IF(ISNUMBER(K10),IF(K10&lt;1,K10,IF(K10&lt;100,TIME(K10,0,0),TIME(INT(K10/100),MOD(K10,100),0))),0)-IF(ISNUMBER(D10),IF(D10&lt;1,D10,IF(D10&lt;100,TIME(D10,0,0),TIME(INT(D10/100),MOD(D10,100),0))),0),1)&gt;MOD(IF(ISNUMBER(L10),IF(L10&lt;1,L10,IF(L10&lt;100,TIME(L10,0,0),TIME(INT(L10/100),MOD(L10,100),0))),0)-IF(ISNUMBER(D10),IF(D10&lt;1,D10,IF(D10&lt;100,TIME(D10,0,0),TIME(INT(D10/100),MOD(D10,100),0))),0),1))),"CHECK",ROUND((MOD(IF(ISNUMBER(L10),IF(L10&lt;1,L10,IF(L10&lt;100,TIME(L10,0,0),TIME(INT(L10/100),MOD(L10,100),0))),0)-IF(ISNUMBER(D10),IF(D10&lt;1,D10,IF(D10&lt;100,TIME(D10,0,0),TIME(INT(D10/100),MOD(D10,100),0))),0),1)-IF(AND(G10&lt;&gt;"",H10&lt;&gt;""),MOD(IF(ISNUMBER(H10),IF(H10&lt;1,H10,IF(H10&lt;100,TIME(H10,0,0),TIME(INT(H10/100),MOD(H10,100),0))),0)-IF(ISNUMBER(D10),IF(D10&lt;1,D10,IF(D10&lt;100,TIME(D10,0,0),TIME(INT(D10/100),MOD(D10,100),0))),0),1)-MOD(IF(ISNUMBER(G10),IF(G10&lt;1,G10,IF(G10&lt;100,TIME(G10,0,0),TIME(INT(G10/100),MOD(G10,100),0))),0)-IF(ISNUMBER(D10),IF(D10&lt;1,D10,IF(D10&lt;100,TIME(D10,0,0),TIME(INT(D10/100),MOD(D10,100),0))),0),1),0))*24-IF(AND(E10&lt;&gt;"",F10&lt;&gt;""),MAX(0,(MOD(IF(ISNUMBER(F10),IF(F10&lt;1,F10,IF(F10&lt;100,TIME(F10,0,0),TIME(INT(F10/100),MOD(F10,100),0))),0)-IF(ISNUMBER(D10),IF(D10&lt;1,D10,IF(D10&lt;100,TIME(D10,0,0),TIME(INT(D10/100),MOD(D10,100),0))),0),1)-MOD(IF(ISNUMBER(E10),IF(E10&lt;1,E10,IF(E10&lt;100,TIME(E10,0,0),TIME(INT(E10/100),MOD(E10,100),0))),0)-IF(ISNUMBER(D10),IF(D10&lt;1,D10,IF(D10&lt;100,TIME(D10,0,0),TIME(INT(D10/100),MOD(D10,100),0))),0),1))*24-10/60),0)-IF(AND(J10&lt;&gt;"",K10&lt;&gt;""),MAX(0,(MOD(IF(ISNUMBER(K10),IF(K10&lt;1,K10,IF(K10&lt;100,TIME(K10,0,0),TIME(INT(K10/100),MOD(K10,100),0))),0)-IF(ISNUMBER(D10),IF(D10&lt;1,D10,IF(D10&lt;100,TIME(D10,0,0),TIME(INT(D10/100),MOD(D10,100),0))),0),1)-MOD(IF(ISNUMBER(J10),IF(J10&lt;1,J10,IF(J10&lt;100,TIME(J10,0,0),TIME(INT(J10/100),MOD(J10,100),0))),0)-IF(ISNUMBER(D10),IF(D10&lt;1,D10,IF(D10&lt;100,TIME(D10,0,0),TIME(INT(D10/100),MOD(D10,100),0))),0),1))*24-10/60),0),2)))</f>
        <v/>
      </c>
      <c r="N10" s="9" t="str">
        <f>IF(ISNUMBER(M10),IF(UPPER(Q10)="Y",0,MIN(8,M10)),"")</f>
        <v/>
      </c>
      <c r="O10" s="9" t="str">
        <f>IF(ISNUMBER(M10),IF(UPPER(Q10)="Y",MIN(8,M10),MAX(0,MIN(12,M10)-8)),"")</f>
        <v/>
      </c>
      <c r="P10" s="9" t="str">
        <f>IF(ISNUMBER(M10),IF(UPPER(Q10)="Y",MAX(0,M10-8),MAX(0,M10-12)),"")</f>
        <v/>
      </c>
      <c r="Q10" s="10"/>
      <c r="R10" s="6">
        <f>IF(ISNUMBER(M10),IF(AND(M10&gt;5,OR(G10="",H10=""),UPPER(I10)&lt;&gt;"Y"),1,0),0)</f>
        <v>0</v>
      </c>
      <c r="S10" s="6">
        <f>IF(ISNUMBER(M10),IF(OR(AND(M10&gt;3.5,OR(E10="",F10="")),AND(M10&gt;6,OR(J10="",K10=""))),1,0),0)</f>
        <v>0</v>
      </c>
      <c r="T10" s="6">
        <f>IF(ISNUMBER(M10),R10+S10,0)</f>
        <v>0</v>
      </c>
      <c r="U10" s="32"/>
    </row>
    <row r="11" spans="1:21" ht="15" customHeight="1">
      <c r="A11" s="21" t="str">
        <f>IF($C$6="","",$C$6+1)</f>
        <v/>
      </c>
      <c r="B11" s="11" t="str">
        <f>IF(A11="","",TEXT(A11,"ddd"))</f>
        <v/>
      </c>
      <c r="C11" s="12"/>
      <c r="D11" s="13"/>
      <c r="E11" s="13"/>
      <c r="F11" s="13"/>
      <c r="G11" s="13"/>
      <c r="H11" s="13"/>
      <c r="I11" s="12"/>
      <c r="J11" s="13"/>
      <c r="K11" s="13"/>
      <c r="L11" s="13"/>
      <c r="M11" s="14" t="str">
        <f>IF(OR(D11="",L11=""),"",IF(OR(AND(G11&lt;&gt;"",H11&lt;&gt;"",MOD(IF(ISNUMBER(H11),IF(H11&lt;1,H11,IF(H11&lt;100,TIME(H11,0,0),TIME(INT(H11/100),MOD(H11,100),0))),0)-IF(ISNUMBER(D11),IF(D11&lt;1,D11,IF(D11&lt;100,TIME(D11,0,0),TIME(INT(D11/100),MOD(D11,100),0))),0),1)&lt;=MOD(IF(ISNUMBER(G11),IF(G11&lt;1,G11,IF(G11&lt;100,TIME(G11,0,0),TIME(INT(G11/100),MOD(G11,100),0))),0)-IF(ISNUMBER(D11),IF(D11&lt;1,D11,IF(D11&lt;100,TIME(D11,0,0),TIME(INT(D11/100),MOD(D11,100),0))),0),1)),AND(E11&lt;&gt;"",F11&lt;&gt;"",MOD(IF(ISNUMBER(F11),IF(F11&lt;1,F11,IF(F11&lt;100,TIME(F11,0,0),TIME(INT(F11/100),MOD(F11,100),0))),0)-IF(ISNUMBER(D11),IF(D11&lt;1,D11,IF(D11&lt;100,TIME(D11,0,0),TIME(INT(D11/100),MOD(D11,100),0))),0),1)&lt;=MOD(IF(ISNUMBER(E11),IF(E11&lt;1,E11,IF(E11&lt;100,TIME(E11,0,0),TIME(INT(E11/100),MOD(E11,100),0))),0)-IF(ISNUMBER(D11),IF(D11&lt;1,D11,IF(D11&lt;100,TIME(D11,0,0),TIME(INT(D11/100),MOD(D11,100),0))),0),1)),AND(J11&lt;&gt;"",K11&lt;&gt;"",MOD(IF(ISNUMBER(K11),IF(K11&lt;1,K11,IF(K11&lt;100,TIME(K11,0,0),TIME(INT(K11/100),MOD(K11,100),0))),0)-IF(ISNUMBER(D11),IF(D11&lt;1,D11,IF(D11&lt;100,TIME(D11,0,0),TIME(INT(D11/100),MOD(D11,100),0))),0),1)&lt;=MOD(IF(ISNUMBER(J11),IF(J11&lt;1,J11,IF(J11&lt;100,TIME(J11,0,0),TIME(INT(J11/100),MOD(J11,100),0))),0)-IF(ISNUMBER(D11),IF(D11&lt;1,D11,IF(D11&lt;100,TIME(D11,0,0),TIME(INT(D11/100),MOD(D11,100),0))),0),1)),AND(H11&lt;&gt;"",MOD(IF(ISNUMBER(H11),IF(H11&lt;1,H11,IF(H11&lt;100,TIME(H11,0,0),TIME(INT(H11/100),MOD(H11,100),0))),0)-IF(ISNUMBER(D11),IF(D11&lt;1,D11,IF(D11&lt;100,TIME(D11,0,0),TIME(INT(D11/100),MOD(D11,100),0))),0),1)&gt;MOD(IF(ISNUMBER(L11),IF(L11&lt;1,L11,IF(L11&lt;100,TIME(L11,0,0),TIME(INT(L11/100),MOD(L11,100),0))),0)-IF(ISNUMBER(D11),IF(D11&lt;1,D11,IF(D11&lt;100,TIME(D11,0,0),TIME(INT(D11/100),MOD(D11,100),0))),0),1)),AND(F11&lt;&gt;"",MOD(IF(ISNUMBER(F11),IF(F11&lt;1,F11,IF(F11&lt;100,TIME(F11,0,0),TIME(INT(F11/100),MOD(F11,100),0))),0)-IF(ISNUMBER(D11),IF(D11&lt;1,D11,IF(D11&lt;100,TIME(D11,0,0),TIME(INT(D11/100),MOD(D11,100),0))),0),1)&gt;MOD(IF(ISNUMBER(L11),IF(L11&lt;1,L11,IF(L11&lt;100,TIME(L11,0,0),TIME(INT(L11/100),MOD(L11,100),0))),0)-IF(ISNUMBER(D11),IF(D11&lt;1,D11,IF(D11&lt;100,TIME(D11,0,0),TIME(INT(D11/100),MOD(D11,100),0))),0),1)),AND(K11&lt;&gt;"",MOD(IF(ISNUMBER(K11),IF(K11&lt;1,K11,IF(K11&lt;100,TIME(K11,0,0),TIME(INT(K11/100),MOD(K11,100),0))),0)-IF(ISNUMBER(D11),IF(D11&lt;1,D11,IF(D11&lt;100,TIME(D11,0,0),TIME(INT(D11/100),MOD(D11,100),0))),0),1)&gt;MOD(IF(ISNUMBER(L11),IF(L11&lt;1,L11,IF(L11&lt;100,TIME(L11,0,0),TIME(INT(L11/100),MOD(L11,100),0))),0)-IF(ISNUMBER(D11),IF(D11&lt;1,D11,IF(D11&lt;100,TIME(D11,0,0),TIME(INT(D11/100),MOD(D11,100),0))),0),1))),"CHECK",ROUND((MOD(IF(ISNUMBER(L11),IF(L11&lt;1,L11,IF(L11&lt;100,TIME(L11,0,0),TIME(INT(L11/100),MOD(L11,100),0))),0)-IF(ISNUMBER(D11),IF(D11&lt;1,D11,IF(D11&lt;100,TIME(D11,0,0),TIME(INT(D11/100),MOD(D11,100),0))),0),1)-IF(AND(G11&lt;&gt;"",H11&lt;&gt;""),MOD(IF(ISNUMBER(H11),IF(H11&lt;1,H11,IF(H11&lt;100,TIME(H11,0,0),TIME(INT(H11/100),MOD(H11,100),0))),0)-IF(ISNUMBER(D11),IF(D11&lt;1,D11,IF(D11&lt;100,TIME(D11,0,0),TIME(INT(D11/100),MOD(D11,100),0))),0),1)-MOD(IF(ISNUMBER(G11),IF(G11&lt;1,G11,IF(G11&lt;100,TIME(G11,0,0),TIME(INT(G11/100),MOD(G11,100),0))),0)-IF(ISNUMBER(D11),IF(D11&lt;1,D11,IF(D11&lt;100,TIME(D11,0,0),TIME(INT(D11/100),MOD(D11,100),0))),0),1),0))*24-IF(AND(E11&lt;&gt;"",F11&lt;&gt;""),MAX(0,(MOD(IF(ISNUMBER(F11),IF(F11&lt;1,F11,IF(F11&lt;100,TIME(F11,0,0),TIME(INT(F11/100),MOD(F11,100),0))),0)-IF(ISNUMBER(D11),IF(D11&lt;1,D11,IF(D11&lt;100,TIME(D11,0,0),TIME(INT(D11/100),MOD(D11,100),0))),0),1)-MOD(IF(ISNUMBER(E11),IF(E11&lt;1,E11,IF(E11&lt;100,TIME(E11,0,0),TIME(INT(E11/100),MOD(E11,100),0))),0)-IF(ISNUMBER(D11),IF(D11&lt;1,D11,IF(D11&lt;100,TIME(D11,0,0),TIME(INT(D11/100),MOD(D11,100),0))),0),1))*24-10/60),0)-IF(AND(J11&lt;&gt;"",K11&lt;&gt;""),MAX(0,(MOD(IF(ISNUMBER(K11),IF(K11&lt;1,K11,IF(K11&lt;100,TIME(K11,0,0),TIME(INT(K11/100),MOD(K11,100),0))),0)-IF(ISNUMBER(D11),IF(D11&lt;1,D11,IF(D11&lt;100,TIME(D11,0,0),TIME(INT(D11/100),MOD(D11,100),0))),0),1)-MOD(IF(ISNUMBER(J11),IF(J11&lt;1,J11,IF(J11&lt;100,TIME(J11,0,0),TIME(INT(J11/100),MOD(J11,100),0))),0)-IF(ISNUMBER(D11),IF(D11&lt;1,D11,IF(D11&lt;100,TIME(D11,0,0),TIME(INT(D11/100),MOD(D11,100),0))),0),1))*24-10/60),0),2)))</f>
        <v/>
      </c>
      <c r="N11" s="14" t="str">
        <f>IF(ISNUMBER(M11),IF(UPPER(Q11)="Y",0,MIN(8,M11)),"")</f>
        <v/>
      </c>
      <c r="O11" s="14" t="str">
        <f>IF(ISNUMBER(M11),IF(UPPER(Q11)="Y",MIN(8,M11),MAX(0,MIN(12,M11)-8)),"")</f>
        <v/>
      </c>
      <c r="P11" s="14" t="str">
        <f>IF(ISNUMBER(M11),IF(UPPER(Q11)="Y",MAX(0,M11-8),MAX(0,M11-12)),"")</f>
        <v/>
      </c>
      <c r="Q11" s="15"/>
      <c r="R11" s="11">
        <f>IF(ISNUMBER(M11),IF(AND(M11&gt;5,OR(G11="",H11=""),UPPER(I11)&lt;&gt;"Y"),1,0),0)</f>
        <v>0</v>
      </c>
      <c r="S11" s="11">
        <f>IF(ISNUMBER(M11),IF(OR(AND(M11&gt;3.5,OR(E11="",F11="")),AND(M11&gt;6,OR(J11="",K11=""))),1,0),0)</f>
        <v>0</v>
      </c>
      <c r="T11" s="11">
        <f>IF(ISNUMBER(M11),R11+S11,0)</f>
        <v>0</v>
      </c>
      <c r="U11" s="32"/>
    </row>
    <row r="12" spans="1:21" ht="15" customHeight="1">
      <c r="A12" s="20" t="str">
        <f>IF($C$6="","",$C$6+2)</f>
        <v/>
      </c>
      <c r="B12" s="6" t="str">
        <f>IF(A12="","",TEXT(A12,"ddd"))</f>
        <v/>
      </c>
      <c r="C12" s="7"/>
      <c r="D12" s="8"/>
      <c r="E12" s="8"/>
      <c r="F12" s="8"/>
      <c r="G12" s="8"/>
      <c r="H12" s="8"/>
      <c r="I12" s="7"/>
      <c r="J12" s="8"/>
      <c r="K12" s="8"/>
      <c r="L12" s="8"/>
      <c r="M12" s="9" t="str">
        <f>IF(OR(D12="",L12=""),"",IF(OR(AND(G12&lt;&gt;"",H12&lt;&gt;"",MOD(IF(ISNUMBER(H12),IF(H12&lt;1,H12,IF(H12&lt;100,TIME(H12,0,0),TIME(INT(H12/100),MOD(H12,100),0))),0)-IF(ISNUMBER(D12),IF(D12&lt;1,D12,IF(D12&lt;100,TIME(D12,0,0),TIME(INT(D12/100),MOD(D12,100),0))),0),1)&lt;=MOD(IF(ISNUMBER(G12),IF(G12&lt;1,G12,IF(G12&lt;100,TIME(G12,0,0),TIME(INT(G12/100),MOD(G12,100),0))),0)-IF(ISNUMBER(D12),IF(D12&lt;1,D12,IF(D12&lt;100,TIME(D12,0,0),TIME(INT(D12/100),MOD(D12,100),0))),0),1)),AND(E12&lt;&gt;"",F12&lt;&gt;"",MOD(IF(ISNUMBER(F12),IF(F12&lt;1,F12,IF(F12&lt;100,TIME(F12,0,0),TIME(INT(F12/100),MOD(F12,100),0))),0)-IF(ISNUMBER(D12),IF(D12&lt;1,D12,IF(D12&lt;100,TIME(D12,0,0),TIME(INT(D12/100),MOD(D12,100),0))),0),1)&lt;=MOD(IF(ISNUMBER(E12),IF(E12&lt;1,E12,IF(E12&lt;100,TIME(E12,0,0),TIME(INT(E12/100),MOD(E12,100),0))),0)-IF(ISNUMBER(D12),IF(D12&lt;1,D12,IF(D12&lt;100,TIME(D12,0,0),TIME(INT(D12/100),MOD(D12,100),0))),0),1)),AND(J12&lt;&gt;"",K12&lt;&gt;"",MOD(IF(ISNUMBER(K12),IF(K12&lt;1,K12,IF(K12&lt;100,TIME(K12,0,0),TIME(INT(K12/100),MOD(K12,100),0))),0)-IF(ISNUMBER(D12),IF(D12&lt;1,D12,IF(D12&lt;100,TIME(D12,0,0),TIME(INT(D12/100),MOD(D12,100),0))),0),1)&lt;=MOD(IF(ISNUMBER(J12),IF(J12&lt;1,J12,IF(J12&lt;100,TIME(J12,0,0),TIME(INT(J12/100),MOD(J12,100),0))),0)-IF(ISNUMBER(D12),IF(D12&lt;1,D12,IF(D12&lt;100,TIME(D12,0,0),TIME(INT(D12/100),MOD(D12,100),0))),0),1)),AND(H12&lt;&gt;"",MOD(IF(ISNUMBER(H12),IF(H12&lt;1,H12,IF(H12&lt;100,TIME(H12,0,0),TIME(INT(H12/100),MOD(H12,100),0))),0)-IF(ISNUMBER(D12),IF(D12&lt;1,D12,IF(D12&lt;100,TIME(D12,0,0),TIME(INT(D12/100),MOD(D12,100),0))),0),1)&gt;MOD(IF(ISNUMBER(L12),IF(L12&lt;1,L12,IF(L12&lt;100,TIME(L12,0,0),TIME(INT(L12/100),MOD(L12,100),0))),0)-IF(ISNUMBER(D12),IF(D12&lt;1,D12,IF(D12&lt;100,TIME(D12,0,0),TIME(INT(D12/100),MOD(D12,100),0))),0),1)),AND(F12&lt;&gt;"",MOD(IF(ISNUMBER(F12),IF(F12&lt;1,F12,IF(F12&lt;100,TIME(F12,0,0),TIME(INT(F12/100),MOD(F12,100),0))),0)-IF(ISNUMBER(D12),IF(D12&lt;1,D12,IF(D12&lt;100,TIME(D12,0,0),TIME(INT(D12/100),MOD(D12,100),0))),0),1)&gt;MOD(IF(ISNUMBER(L12),IF(L12&lt;1,L12,IF(L12&lt;100,TIME(L12,0,0),TIME(INT(L12/100),MOD(L12,100),0))),0)-IF(ISNUMBER(D12),IF(D12&lt;1,D12,IF(D12&lt;100,TIME(D12,0,0),TIME(INT(D12/100),MOD(D12,100),0))),0),1)),AND(K12&lt;&gt;"",MOD(IF(ISNUMBER(K12),IF(K12&lt;1,K12,IF(K12&lt;100,TIME(K12,0,0),TIME(INT(K12/100),MOD(K12,100),0))),0)-IF(ISNUMBER(D12),IF(D12&lt;1,D12,IF(D12&lt;100,TIME(D12,0,0),TIME(INT(D12/100),MOD(D12,100),0))),0),1)&gt;MOD(IF(ISNUMBER(L12),IF(L12&lt;1,L12,IF(L12&lt;100,TIME(L12,0,0),TIME(INT(L12/100),MOD(L12,100),0))),0)-IF(ISNUMBER(D12),IF(D12&lt;1,D12,IF(D12&lt;100,TIME(D12,0,0),TIME(INT(D12/100),MOD(D12,100),0))),0),1))),"CHECK",ROUND((MOD(IF(ISNUMBER(L12),IF(L12&lt;1,L12,IF(L12&lt;100,TIME(L12,0,0),TIME(INT(L12/100),MOD(L12,100),0))),0)-IF(ISNUMBER(D12),IF(D12&lt;1,D12,IF(D12&lt;100,TIME(D12,0,0),TIME(INT(D12/100),MOD(D12,100),0))),0),1)-IF(AND(G12&lt;&gt;"",H12&lt;&gt;""),MOD(IF(ISNUMBER(H12),IF(H12&lt;1,H12,IF(H12&lt;100,TIME(H12,0,0),TIME(INT(H12/100),MOD(H12,100),0))),0)-IF(ISNUMBER(D12),IF(D12&lt;1,D12,IF(D12&lt;100,TIME(D12,0,0),TIME(INT(D12/100),MOD(D12,100),0))),0),1)-MOD(IF(ISNUMBER(G12),IF(G12&lt;1,G12,IF(G12&lt;100,TIME(G12,0,0),TIME(INT(G12/100),MOD(G12,100),0))),0)-IF(ISNUMBER(D12),IF(D12&lt;1,D12,IF(D12&lt;100,TIME(D12,0,0),TIME(INT(D12/100),MOD(D12,100),0))),0),1),0))*24-IF(AND(E12&lt;&gt;"",F12&lt;&gt;""),MAX(0,(MOD(IF(ISNUMBER(F12),IF(F12&lt;1,F12,IF(F12&lt;100,TIME(F12,0,0),TIME(INT(F12/100),MOD(F12,100),0))),0)-IF(ISNUMBER(D12),IF(D12&lt;1,D12,IF(D12&lt;100,TIME(D12,0,0),TIME(INT(D12/100),MOD(D12,100),0))),0),1)-MOD(IF(ISNUMBER(E12),IF(E12&lt;1,E12,IF(E12&lt;100,TIME(E12,0,0),TIME(INT(E12/100),MOD(E12,100),0))),0)-IF(ISNUMBER(D12),IF(D12&lt;1,D12,IF(D12&lt;100,TIME(D12,0,0),TIME(INT(D12/100),MOD(D12,100),0))),0),1))*24-10/60),0)-IF(AND(J12&lt;&gt;"",K12&lt;&gt;""),MAX(0,(MOD(IF(ISNUMBER(K12),IF(K12&lt;1,K12,IF(K12&lt;100,TIME(K12,0,0),TIME(INT(K12/100),MOD(K12,100),0))),0)-IF(ISNUMBER(D12),IF(D12&lt;1,D12,IF(D12&lt;100,TIME(D12,0,0),TIME(INT(D12/100),MOD(D12,100),0))),0),1)-MOD(IF(ISNUMBER(J12),IF(J12&lt;1,J12,IF(J12&lt;100,TIME(J12,0,0),TIME(INT(J12/100),MOD(J12,100),0))),0)-IF(ISNUMBER(D12),IF(D12&lt;1,D12,IF(D12&lt;100,TIME(D12,0,0),TIME(INT(D12/100),MOD(D12,100),0))),0),1))*24-10/60),0),2)))</f>
        <v/>
      </c>
      <c r="N12" s="9" t="str">
        <f>IF(ISNUMBER(M12),IF(UPPER(Q12)="Y",0,MIN(8,M12)),"")</f>
        <v/>
      </c>
      <c r="O12" s="9" t="str">
        <f>IF(ISNUMBER(M12),IF(UPPER(Q12)="Y",MIN(8,M12),MAX(0,MIN(12,M12)-8)),"")</f>
        <v/>
      </c>
      <c r="P12" s="9" t="str">
        <f>IF(ISNUMBER(M12),IF(UPPER(Q12)="Y",MAX(0,M12-8),MAX(0,M12-12)),"")</f>
        <v/>
      </c>
      <c r="Q12" s="10"/>
      <c r="R12" s="6">
        <f>IF(ISNUMBER(M12),IF(AND(M12&gt;5,OR(G12="",H12=""),UPPER(I12)&lt;&gt;"Y"),1,0),0)</f>
        <v>0</v>
      </c>
      <c r="S12" s="6">
        <f>IF(ISNUMBER(M12),IF(OR(AND(M12&gt;3.5,OR(E12="",F12="")),AND(M12&gt;6,OR(J12="",K12=""))),1,0),0)</f>
        <v>0</v>
      </c>
      <c r="T12" s="6">
        <f>IF(ISNUMBER(M12),R12+S12,0)</f>
        <v>0</v>
      </c>
      <c r="U12" s="32"/>
    </row>
    <row r="13" spans="1:21" ht="15" customHeight="1">
      <c r="A13" s="21" t="str">
        <f>IF($C$6="","",$C$6+3)</f>
        <v/>
      </c>
      <c r="B13" s="11" t="str">
        <f>IF(A13="","",TEXT(A13,"ddd"))</f>
        <v/>
      </c>
      <c r="C13" s="12"/>
      <c r="D13" s="13"/>
      <c r="E13" s="13"/>
      <c r="F13" s="13"/>
      <c r="G13" s="13"/>
      <c r="H13" s="13"/>
      <c r="I13" s="12"/>
      <c r="J13" s="13"/>
      <c r="K13" s="13"/>
      <c r="L13" s="13"/>
      <c r="M13" s="14" t="str">
        <f>IF(OR(D13="",L13=""),"",IF(OR(AND(G13&lt;&gt;"",H13&lt;&gt;"",MOD(IF(ISNUMBER(H13),IF(H13&lt;1,H13,IF(H13&lt;100,TIME(H13,0,0),TIME(INT(H13/100),MOD(H13,100),0))),0)-IF(ISNUMBER(D13),IF(D13&lt;1,D13,IF(D13&lt;100,TIME(D13,0,0),TIME(INT(D13/100),MOD(D13,100),0))),0),1)&lt;=MOD(IF(ISNUMBER(G13),IF(G13&lt;1,G13,IF(G13&lt;100,TIME(G13,0,0),TIME(INT(G13/100),MOD(G13,100),0))),0)-IF(ISNUMBER(D13),IF(D13&lt;1,D13,IF(D13&lt;100,TIME(D13,0,0),TIME(INT(D13/100),MOD(D13,100),0))),0),1)),AND(E13&lt;&gt;"",F13&lt;&gt;"",MOD(IF(ISNUMBER(F13),IF(F13&lt;1,F13,IF(F13&lt;100,TIME(F13,0,0),TIME(INT(F13/100),MOD(F13,100),0))),0)-IF(ISNUMBER(D13),IF(D13&lt;1,D13,IF(D13&lt;100,TIME(D13,0,0),TIME(INT(D13/100),MOD(D13,100),0))),0),1)&lt;=MOD(IF(ISNUMBER(E13),IF(E13&lt;1,E13,IF(E13&lt;100,TIME(E13,0,0),TIME(INT(E13/100),MOD(E13,100),0))),0)-IF(ISNUMBER(D13),IF(D13&lt;1,D13,IF(D13&lt;100,TIME(D13,0,0),TIME(INT(D13/100),MOD(D13,100),0))),0),1)),AND(J13&lt;&gt;"",K13&lt;&gt;"",MOD(IF(ISNUMBER(K13),IF(K13&lt;1,K13,IF(K13&lt;100,TIME(K13,0,0),TIME(INT(K13/100),MOD(K13,100),0))),0)-IF(ISNUMBER(D13),IF(D13&lt;1,D13,IF(D13&lt;100,TIME(D13,0,0),TIME(INT(D13/100),MOD(D13,100),0))),0),1)&lt;=MOD(IF(ISNUMBER(J13),IF(J13&lt;1,J13,IF(J13&lt;100,TIME(J13,0,0),TIME(INT(J13/100),MOD(J13,100),0))),0)-IF(ISNUMBER(D13),IF(D13&lt;1,D13,IF(D13&lt;100,TIME(D13,0,0),TIME(INT(D13/100),MOD(D13,100),0))),0),1)),AND(H13&lt;&gt;"",MOD(IF(ISNUMBER(H13),IF(H13&lt;1,H13,IF(H13&lt;100,TIME(H13,0,0),TIME(INT(H13/100),MOD(H13,100),0))),0)-IF(ISNUMBER(D13),IF(D13&lt;1,D13,IF(D13&lt;100,TIME(D13,0,0),TIME(INT(D13/100),MOD(D13,100),0))),0),1)&gt;MOD(IF(ISNUMBER(L13),IF(L13&lt;1,L13,IF(L13&lt;100,TIME(L13,0,0),TIME(INT(L13/100),MOD(L13,100),0))),0)-IF(ISNUMBER(D13),IF(D13&lt;1,D13,IF(D13&lt;100,TIME(D13,0,0),TIME(INT(D13/100),MOD(D13,100),0))),0),1)),AND(F13&lt;&gt;"",MOD(IF(ISNUMBER(F13),IF(F13&lt;1,F13,IF(F13&lt;100,TIME(F13,0,0),TIME(INT(F13/100),MOD(F13,100),0))),0)-IF(ISNUMBER(D13),IF(D13&lt;1,D13,IF(D13&lt;100,TIME(D13,0,0),TIME(INT(D13/100),MOD(D13,100),0))),0),1)&gt;MOD(IF(ISNUMBER(L13),IF(L13&lt;1,L13,IF(L13&lt;100,TIME(L13,0,0),TIME(INT(L13/100),MOD(L13,100),0))),0)-IF(ISNUMBER(D13),IF(D13&lt;1,D13,IF(D13&lt;100,TIME(D13,0,0),TIME(INT(D13/100),MOD(D13,100),0))),0),1)),AND(K13&lt;&gt;"",MOD(IF(ISNUMBER(K13),IF(K13&lt;1,K13,IF(K13&lt;100,TIME(K13,0,0),TIME(INT(K13/100),MOD(K13,100),0))),0)-IF(ISNUMBER(D13),IF(D13&lt;1,D13,IF(D13&lt;100,TIME(D13,0,0),TIME(INT(D13/100),MOD(D13,100),0))),0),1)&gt;MOD(IF(ISNUMBER(L13),IF(L13&lt;1,L13,IF(L13&lt;100,TIME(L13,0,0),TIME(INT(L13/100),MOD(L13,100),0))),0)-IF(ISNUMBER(D13),IF(D13&lt;1,D13,IF(D13&lt;100,TIME(D13,0,0),TIME(INT(D13/100),MOD(D13,100),0))),0),1))),"CHECK",ROUND((MOD(IF(ISNUMBER(L13),IF(L13&lt;1,L13,IF(L13&lt;100,TIME(L13,0,0),TIME(INT(L13/100),MOD(L13,100),0))),0)-IF(ISNUMBER(D13),IF(D13&lt;1,D13,IF(D13&lt;100,TIME(D13,0,0),TIME(INT(D13/100),MOD(D13,100),0))),0),1)-IF(AND(G13&lt;&gt;"",H13&lt;&gt;""),MOD(IF(ISNUMBER(H13),IF(H13&lt;1,H13,IF(H13&lt;100,TIME(H13,0,0),TIME(INT(H13/100),MOD(H13,100),0))),0)-IF(ISNUMBER(D13),IF(D13&lt;1,D13,IF(D13&lt;100,TIME(D13,0,0),TIME(INT(D13/100),MOD(D13,100),0))),0),1)-MOD(IF(ISNUMBER(G13),IF(G13&lt;1,G13,IF(G13&lt;100,TIME(G13,0,0),TIME(INT(G13/100),MOD(G13,100),0))),0)-IF(ISNUMBER(D13),IF(D13&lt;1,D13,IF(D13&lt;100,TIME(D13,0,0),TIME(INT(D13/100),MOD(D13,100),0))),0),1),0))*24-IF(AND(E13&lt;&gt;"",F13&lt;&gt;""),MAX(0,(MOD(IF(ISNUMBER(F13),IF(F13&lt;1,F13,IF(F13&lt;100,TIME(F13,0,0),TIME(INT(F13/100),MOD(F13,100),0))),0)-IF(ISNUMBER(D13),IF(D13&lt;1,D13,IF(D13&lt;100,TIME(D13,0,0),TIME(INT(D13/100),MOD(D13,100),0))),0),1)-MOD(IF(ISNUMBER(E13),IF(E13&lt;1,E13,IF(E13&lt;100,TIME(E13,0,0),TIME(INT(E13/100),MOD(E13,100),0))),0)-IF(ISNUMBER(D13),IF(D13&lt;1,D13,IF(D13&lt;100,TIME(D13,0,0),TIME(INT(D13/100),MOD(D13,100),0))),0),1))*24-10/60),0)-IF(AND(J13&lt;&gt;"",K13&lt;&gt;""),MAX(0,(MOD(IF(ISNUMBER(K13),IF(K13&lt;1,K13,IF(K13&lt;100,TIME(K13,0,0),TIME(INT(K13/100),MOD(K13,100),0))),0)-IF(ISNUMBER(D13),IF(D13&lt;1,D13,IF(D13&lt;100,TIME(D13,0,0),TIME(INT(D13/100),MOD(D13,100),0))),0),1)-MOD(IF(ISNUMBER(J13),IF(J13&lt;1,J13,IF(J13&lt;100,TIME(J13,0,0),TIME(INT(J13/100),MOD(J13,100),0))),0)-IF(ISNUMBER(D13),IF(D13&lt;1,D13,IF(D13&lt;100,TIME(D13,0,0),TIME(INT(D13/100),MOD(D13,100),0))),0),1))*24-10/60),0),2)))</f>
        <v/>
      </c>
      <c r="N13" s="14" t="str">
        <f>IF(ISNUMBER(M13),IF(UPPER(Q13)="Y",0,MIN(8,M13)),"")</f>
        <v/>
      </c>
      <c r="O13" s="14" t="str">
        <f>IF(ISNUMBER(M13),IF(UPPER(Q13)="Y",MIN(8,M13),MAX(0,MIN(12,M13)-8)),"")</f>
        <v/>
      </c>
      <c r="P13" s="14" t="str">
        <f>IF(ISNUMBER(M13),IF(UPPER(Q13)="Y",MAX(0,M13-8),MAX(0,M13-12)),"")</f>
        <v/>
      </c>
      <c r="Q13" s="15"/>
      <c r="R13" s="11">
        <f>IF(ISNUMBER(M13),IF(AND(M13&gt;5,OR(G13="",H13=""),UPPER(I13)&lt;&gt;"Y"),1,0),0)</f>
        <v>0</v>
      </c>
      <c r="S13" s="11">
        <f>IF(ISNUMBER(M13),IF(OR(AND(M13&gt;3.5,OR(E13="",F13="")),AND(M13&gt;6,OR(J13="",K13=""))),1,0),0)</f>
        <v>0</v>
      </c>
      <c r="T13" s="11">
        <f>IF(ISNUMBER(M13),R13+S13,0)</f>
        <v>0</v>
      </c>
      <c r="U13" s="32"/>
    </row>
    <row r="14" spans="1:21" ht="15" customHeight="1">
      <c r="A14" s="20" t="str">
        <f>IF($C$6="","",$C$6+4)</f>
        <v/>
      </c>
      <c r="B14" s="6" t="str">
        <f>IF(A14="","",TEXT(A14,"ddd"))</f>
        <v/>
      </c>
      <c r="C14" s="7"/>
      <c r="D14" s="8"/>
      <c r="E14" s="8"/>
      <c r="F14" s="8"/>
      <c r="G14" s="8"/>
      <c r="H14" s="8"/>
      <c r="I14" s="7"/>
      <c r="J14" s="8"/>
      <c r="K14" s="8"/>
      <c r="L14" s="8"/>
      <c r="M14" s="9" t="str">
        <f>IF(OR(D14="",L14=""),"",IF(OR(AND(G14&lt;&gt;"",H14&lt;&gt;"",MOD(IF(ISNUMBER(H14),IF(H14&lt;1,H14,IF(H14&lt;100,TIME(H14,0,0),TIME(INT(H14/100),MOD(H14,100),0))),0)-IF(ISNUMBER(D14),IF(D14&lt;1,D14,IF(D14&lt;100,TIME(D14,0,0),TIME(INT(D14/100),MOD(D14,100),0))),0),1)&lt;=MOD(IF(ISNUMBER(G14),IF(G14&lt;1,G14,IF(G14&lt;100,TIME(G14,0,0),TIME(INT(G14/100),MOD(G14,100),0))),0)-IF(ISNUMBER(D14),IF(D14&lt;1,D14,IF(D14&lt;100,TIME(D14,0,0),TIME(INT(D14/100),MOD(D14,100),0))),0),1)),AND(E14&lt;&gt;"",F14&lt;&gt;"",MOD(IF(ISNUMBER(F14),IF(F14&lt;1,F14,IF(F14&lt;100,TIME(F14,0,0),TIME(INT(F14/100),MOD(F14,100),0))),0)-IF(ISNUMBER(D14),IF(D14&lt;1,D14,IF(D14&lt;100,TIME(D14,0,0),TIME(INT(D14/100),MOD(D14,100),0))),0),1)&lt;=MOD(IF(ISNUMBER(E14),IF(E14&lt;1,E14,IF(E14&lt;100,TIME(E14,0,0),TIME(INT(E14/100),MOD(E14,100),0))),0)-IF(ISNUMBER(D14),IF(D14&lt;1,D14,IF(D14&lt;100,TIME(D14,0,0),TIME(INT(D14/100),MOD(D14,100),0))),0),1)),AND(J14&lt;&gt;"",K14&lt;&gt;"",MOD(IF(ISNUMBER(K14),IF(K14&lt;1,K14,IF(K14&lt;100,TIME(K14,0,0),TIME(INT(K14/100),MOD(K14,100),0))),0)-IF(ISNUMBER(D14),IF(D14&lt;1,D14,IF(D14&lt;100,TIME(D14,0,0),TIME(INT(D14/100),MOD(D14,100),0))),0),1)&lt;=MOD(IF(ISNUMBER(J14),IF(J14&lt;1,J14,IF(J14&lt;100,TIME(J14,0,0),TIME(INT(J14/100),MOD(J14,100),0))),0)-IF(ISNUMBER(D14),IF(D14&lt;1,D14,IF(D14&lt;100,TIME(D14,0,0),TIME(INT(D14/100),MOD(D14,100),0))),0),1)),AND(H14&lt;&gt;"",MOD(IF(ISNUMBER(H14),IF(H14&lt;1,H14,IF(H14&lt;100,TIME(H14,0,0),TIME(INT(H14/100),MOD(H14,100),0))),0)-IF(ISNUMBER(D14),IF(D14&lt;1,D14,IF(D14&lt;100,TIME(D14,0,0),TIME(INT(D14/100),MOD(D14,100),0))),0),1)&gt;MOD(IF(ISNUMBER(L14),IF(L14&lt;1,L14,IF(L14&lt;100,TIME(L14,0,0),TIME(INT(L14/100),MOD(L14,100),0))),0)-IF(ISNUMBER(D14),IF(D14&lt;1,D14,IF(D14&lt;100,TIME(D14,0,0),TIME(INT(D14/100),MOD(D14,100),0))),0),1)),AND(F14&lt;&gt;"",MOD(IF(ISNUMBER(F14),IF(F14&lt;1,F14,IF(F14&lt;100,TIME(F14,0,0),TIME(INT(F14/100),MOD(F14,100),0))),0)-IF(ISNUMBER(D14),IF(D14&lt;1,D14,IF(D14&lt;100,TIME(D14,0,0),TIME(INT(D14/100),MOD(D14,100),0))),0),1)&gt;MOD(IF(ISNUMBER(L14),IF(L14&lt;1,L14,IF(L14&lt;100,TIME(L14,0,0),TIME(INT(L14/100),MOD(L14,100),0))),0)-IF(ISNUMBER(D14),IF(D14&lt;1,D14,IF(D14&lt;100,TIME(D14,0,0),TIME(INT(D14/100),MOD(D14,100),0))),0),1)),AND(K14&lt;&gt;"",MOD(IF(ISNUMBER(K14),IF(K14&lt;1,K14,IF(K14&lt;100,TIME(K14,0,0),TIME(INT(K14/100),MOD(K14,100),0))),0)-IF(ISNUMBER(D14),IF(D14&lt;1,D14,IF(D14&lt;100,TIME(D14,0,0),TIME(INT(D14/100),MOD(D14,100),0))),0),1)&gt;MOD(IF(ISNUMBER(L14),IF(L14&lt;1,L14,IF(L14&lt;100,TIME(L14,0,0),TIME(INT(L14/100),MOD(L14,100),0))),0)-IF(ISNUMBER(D14),IF(D14&lt;1,D14,IF(D14&lt;100,TIME(D14,0,0),TIME(INT(D14/100),MOD(D14,100),0))),0),1))),"CHECK",ROUND((MOD(IF(ISNUMBER(L14),IF(L14&lt;1,L14,IF(L14&lt;100,TIME(L14,0,0),TIME(INT(L14/100),MOD(L14,100),0))),0)-IF(ISNUMBER(D14),IF(D14&lt;1,D14,IF(D14&lt;100,TIME(D14,0,0),TIME(INT(D14/100),MOD(D14,100),0))),0),1)-IF(AND(G14&lt;&gt;"",H14&lt;&gt;""),MOD(IF(ISNUMBER(H14),IF(H14&lt;1,H14,IF(H14&lt;100,TIME(H14,0,0),TIME(INT(H14/100),MOD(H14,100),0))),0)-IF(ISNUMBER(D14),IF(D14&lt;1,D14,IF(D14&lt;100,TIME(D14,0,0),TIME(INT(D14/100),MOD(D14,100),0))),0),1)-MOD(IF(ISNUMBER(G14),IF(G14&lt;1,G14,IF(G14&lt;100,TIME(G14,0,0),TIME(INT(G14/100),MOD(G14,100),0))),0)-IF(ISNUMBER(D14),IF(D14&lt;1,D14,IF(D14&lt;100,TIME(D14,0,0),TIME(INT(D14/100),MOD(D14,100),0))),0),1),0))*24-IF(AND(E14&lt;&gt;"",F14&lt;&gt;""),MAX(0,(MOD(IF(ISNUMBER(F14),IF(F14&lt;1,F14,IF(F14&lt;100,TIME(F14,0,0),TIME(INT(F14/100),MOD(F14,100),0))),0)-IF(ISNUMBER(D14),IF(D14&lt;1,D14,IF(D14&lt;100,TIME(D14,0,0),TIME(INT(D14/100),MOD(D14,100),0))),0),1)-MOD(IF(ISNUMBER(E14),IF(E14&lt;1,E14,IF(E14&lt;100,TIME(E14,0,0),TIME(INT(E14/100),MOD(E14,100),0))),0)-IF(ISNUMBER(D14),IF(D14&lt;1,D14,IF(D14&lt;100,TIME(D14,0,0),TIME(INT(D14/100),MOD(D14,100),0))),0),1))*24-10/60),0)-IF(AND(J14&lt;&gt;"",K14&lt;&gt;""),MAX(0,(MOD(IF(ISNUMBER(K14),IF(K14&lt;1,K14,IF(K14&lt;100,TIME(K14,0,0),TIME(INT(K14/100),MOD(K14,100),0))),0)-IF(ISNUMBER(D14),IF(D14&lt;1,D14,IF(D14&lt;100,TIME(D14,0,0),TIME(INT(D14/100),MOD(D14,100),0))),0),1)-MOD(IF(ISNUMBER(J14),IF(J14&lt;1,J14,IF(J14&lt;100,TIME(J14,0,0),TIME(INT(J14/100),MOD(J14,100),0))),0)-IF(ISNUMBER(D14),IF(D14&lt;1,D14,IF(D14&lt;100,TIME(D14,0,0),TIME(INT(D14/100),MOD(D14,100),0))),0),1))*24-10/60),0),2)))</f>
        <v/>
      </c>
      <c r="N14" s="9" t="str">
        <f>IF(ISNUMBER(M14),IF(UPPER(Q14)="Y",0,MIN(8,M14)),"")</f>
        <v/>
      </c>
      <c r="O14" s="9" t="str">
        <f>IF(ISNUMBER(M14),IF(UPPER(Q14)="Y",MIN(8,M14),MAX(0,MIN(12,M14)-8)),"")</f>
        <v/>
      </c>
      <c r="P14" s="9" t="str">
        <f>IF(ISNUMBER(M14),IF(UPPER(Q14)="Y",MAX(0,M14-8),MAX(0,M14-12)),"")</f>
        <v/>
      </c>
      <c r="Q14" s="10"/>
      <c r="R14" s="6">
        <f>IF(ISNUMBER(M14),IF(AND(M14&gt;5,OR(G14="",H14=""),UPPER(I14)&lt;&gt;"Y"),1,0),0)</f>
        <v>0</v>
      </c>
      <c r="S14" s="6">
        <f>IF(ISNUMBER(M14),IF(OR(AND(M14&gt;3.5,OR(E14="",F14="")),AND(M14&gt;6,OR(J14="",K14=""))),1,0),0)</f>
        <v>0</v>
      </c>
      <c r="T14" s="6">
        <f>IF(ISNUMBER(M14),R14+S14,0)</f>
        <v>0</v>
      </c>
      <c r="U14" s="32"/>
    </row>
    <row r="15" spans="1:21" ht="15" customHeight="1">
      <c r="A15" s="21" t="str">
        <f>IF($C$6="","",$C$6+5)</f>
        <v/>
      </c>
      <c r="B15" s="11" t="str">
        <f>IF(A15="","",TEXT(A15,"ddd"))</f>
        <v/>
      </c>
      <c r="C15" s="12"/>
      <c r="D15" s="13"/>
      <c r="E15" s="13"/>
      <c r="F15" s="13"/>
      <c r="G15" s="13"/>
      <c r="H15" s="13"/>
      <c r="I15" s="12"/>
      <c r="J15" s="13"/>
      <c r="K15" s="13"/>
      <c r="L15" s="13"/>
      <c r="M15" s="14" t="str">
        <f>IF(OR(D15="",L15=""),"",IF(OR(AND(G15&lt;&gt;"",H15&lt;&gt;"",MOD(IF(ISNUMBER(H15),IF(H15&lt;1,H15,IF(H15&lt;100,TIME(H15,0,0),TIME(INT(H15/100),MOD(H15,100),0))),0)-IF(ISNUMBER(D15),IF(D15&lt;1,D15,IF(D15&lt;100,TIME(D15,0,0),TIME(INT(D15/100),MOD(D15,100),0))),0),1)&lt;=MOD(IF(ISNUMBER(G15),IF(G15&lt;1,G15,IF(G15&lt;100,TIME(G15,0,0),TIME(INT(G15/100),MOD(G15,100),0))),0)-IF(ISNUMBER(D15),IF(D15&lt;1,D15,IF(D15&lt;100,TIME(D15,0,0),TIME(INT(D15/100),MOD(D15,100),0))),0),1)),AND(E15&lt;&gt;"",F15&lt;&gt;"",MOD(IF(ISNUMBER(F15),IF(F15&lt;1,F15,IF(F15&lt;100,TIME(F15,0,0),TIME(INT(F15/100),MOD(F15,100),0))),0)-IF(ISNUMBER(D15),IF(D15&lt;1,D15,IF(D15&lt;100,TIME(D15,0,0),TIME(INT(D15/100),MOD(D15,100),0))),0),1)&lt;=MOD(IF(ISNUMBER(E15),IF(E15&lt;1,E15,IF(E15&lt;100,TIME(E15,0,0),TIME(INT(E15/100),MOD(E15,100),0))),0)-IF(ISNUMBER(D15),IF(D15&lt;1,D15,IF(D15&lt;100,TIME(D15,0,0),TIME(INT(D15/100),MOD(D15,100),0))),0),1)),AND(J15&lt;&gt;"",K15&lt;&gt;"",MOD(IF(ISNUMBER(K15),IF(K15&lt;1,K15,IF(K15&lt;100,TIME(K15,0,0),TIME(INT(K15/100),MOD(K15,100),0))),0)-IF(ISNUMBER(D15),IF(D15&lt;1,D15,IF(D15&lt;100,TIME(D15,0,0),TIME(INT(D15/100),MOD(D15,100),0))),0),1)&lt;=MOD(IF(ISNUMBER(J15),IF(J15&lt;1,J15,IF(J15&lt;100,TIME(J15,0,0),TIME(INT(J15/100),MOD(J15,100),0))),0)-IF(ISNUMBER(D15),IF(D15&lt;1,D15,IF(D15&lt;100,TIME(D15,0,0),TIME(INT(D15/100),MOD(D15,100),0))),0),1)),AND(H15&lt;&gt;"",MOD(IF(ISNUMBER(H15),IF(H15&lt;1,H15,IF(H15&lt;100,TIME(H15,0,0),TIME(INT(H15/100),MOD(H15,100),0))),0)-IF(ISNUMBER(D15),IF(D15&lt;1,D15,IF(D15&lt;100,TIME(D15,0,0),TIME(INT(D15/100),MOD(D15,100),0))),0),1)&gt;MOD(IF(ISNUMBER(L15),IF(L15&lt;1,L15,IF(L15&lt;100,TIME(L15,0,0),TIME(INT(L15/100),MOD(L15,100),0))),0)-IF(ISNUMBER(D15),IF(D15&lt;1,D15,IF(D15&lt;100,TIME(D15,0,0),TIME(INT(D15/100),MOD(D15,100),0))),0),1)),AND(F15&lt;&gt;"",MOD(IF(ISNUMBER(F15),IF(F15&lt;1,F15,IF(F15&lt;100,TIME(F15,0,0),TIME(INT(F15/100),MOD(F15,100),0))),0)-IF(ISNUMBER(D15),IF(D15&lt;1,D15,IF(D15&lt;100,TIME(D15,0,0),TIME(INT(D15/100),MOD(D15,100),0))),0),1)&gt;MOD(IF(ISNUMBER(L15),IF(L15&lt;1,L15,IF(L15&lt;100,TIME(L15,0,0),TIME(INT(L15/100),MOD(L15,100),0))),0)-IF(ISNUMBER(D15),IF(D15&lt;1,D15,IF(D15&lt;100,TIME(D15,0,0),TIME(INT(D15/100),MOD(D15,100),0))),0),1)),AND(K15&lt;&gt;"",MOD(IF(ISNUMBER(K15),IF(K15&lt;1,K15,IF(K15&lt;100,TIME(K15,0,0),TIME(INT(K15/100),MOD(K15,100),0))),0)-IF(ISNUMBER(D15),IF(D15&lt;1,D15,IF(D15&lt;100,TIME(D15,0,0),TIME(INT(D15/100),MOD(D15,100),0))),0),1)&gt;MOD(IF(ISNUMBER(L15),IF(L15&lt;1,L15,IF(L15&lt;100,TIME(L15,0,0),TIME(INT(L15/100),MOD(L15,100),0))),0)-IF(ISNUMBER(D15),IF(D15&lt;1,D15,IF(D15&lt;100,TIME(D15,0,0),TIME(INT(D15/100),MOD(D15,100),0))),0),1))),"CHECK",ROUND((MOD(IF(ISNUMBER(L15),IF(L15&lt;1,L15,IF(L15&lt;100,TIME(L15,0,0),TIME(INT(L15/100),MOD(L15,100),0))),0)-IF(ISNUMBER(D15),IF(D15&lt;1,D15,IF(D15&lt;100,TIME(D15,0,0),TIME(INT(D15/100),MOD(D15,100),0))),0),1)-IF(AND(G15&lt;&gt;"",H15&lt;&gt;""),MOD(IF(ISNUMBER(H15),IF(H15&lt;1,H15,IF(H15&lt;100,TIME(H15,0,0),TIME(INT(H15/100),MOD(H15,100),0))),0)-IF(ISNUMBER(D15),IF(D15&lt;1,D15,IF(D15&lt;100,TIME(D15,0,0),TIME(INT(D15/100),MOD(D15,100),0))),0),1)-MOD(IF(ISNUMBER(G15),IF(G15&lt;1,G15,IF(G15&lt;100,TIME(G15,0,0),TIME(INT(G15/100),MOD(G15,100),0))),0)-IF(ISNUMBER(D15),IF(D15&lt;1,D15,IF(D15&lt;100,TIME(D15,0,0),TIME(INT(D15/100),MOD(D15,100),0))),0),1),0))*24-IF(AND(E15&lt;&gt;"",F15&lt;&gt;""),MAX(0,(MOD(IF(ISNUMBER(F15),IF(F15&lt;1,F15,IF(F15&lt;100,TIME(F15,0,0),TIME(INT(F15/100),MOD(F15,100),0))),0)-IF(ISNUMBER(D15),IF(D15&lt;1,D15,IF(D15&lt;100,TIME(D15,0,0),TIME(INT(D15/100),MOD(D15,100),0))),0),1)-MOD(IF(ISNUMBER(E15),IF(E15&lt;1,E15,IF(E15&lt;100,TIME(E15,0,0),TIME(INT(E15/100),MOD(E15,100),0))),0)-IF(ISNUMBER(D15),IF(D15&lt;1,D15,IF(D15&lt;100,TIME(D15,0,0),TIME(INT(D15/100),MOD(D15,100),0))),0),1))*24-10/60),0)-IF(AND(J15&lt;&gt;"",K15&lt;&gt;""),MAX(0,(MOD(IF(ISNUMBER(K15),IF(K15&lt;1,K15,IF(K15&lt;100,TIME(K15,0,0),TIME(INT(K15/100),MOD(K15,100),0))),0)-IF(ISNUMBER(D15),IF(D15&lt;1,D15,IF(D15&lt;100,TIME(D15,0,0),TIME(INT(D15/100),MOD(D15,100),0))),0),1)-MOD(IF(ISNUMBER(J15),IF(J15&lt;1,J15,IF(J15&lt;100,TIME(J15,0,0),TIME(INT(J15/100),MOD(J15,100),0))),0)-IF(ISNUMBER(D15),IF(D15&lt;1,D15,IF(D15&lt;100,TIME(D15,0,0),TIME(INT(D15/100),MOD(D15,100),0))),0),1))*24-10/60),0),2)))</f>
        <v/>
      </c>
      <c r="N15" s="14" t="str">
        <f>IF(ISNUMBER(M15),IF(UPPER(Q15)="Y",0,MIN(8,M15)),"")</f>
        <v/>
      </c>
      <c r="O15" s="14" t="str">
        <f>IF(ISNUMBER(M15),IF(UPPER(Q15)="Y",MIN(8,M15),MAX(0,MIN(12,M15)-8)),"")</f>
        <v/>
      </c>
      <c r="P15" s="14" t="str">
        <f>IF(ISNUMBER(M15),IF(UPPER(Q15)="Y",MAX(0,M15-8),MAX(0,M15-12)),"")</f>
        <v/>
      </c>
      <c r="Q15" s="15"/>
      <c r="R15" s="11">
        <f>IF(ISNUMBER(M15),IF(AND(M15&gt;5,OR(G15="",H15=""),UPPER(I15)&lt;&gt;"Y"),1,0),0)</f>
        <v>0</v>
      </c>
      <c r="S15" s="11">
        <f>IF(ISNUMBER(M15),IF(OR(AND(M15&gt;3.5,OR(E15="",F15="")),AND(M15&gt;6,OR(J15="",K15=""))),1,0),0)</f>
        <v>0</v>
      </c>
      <c r="T15" s="11">
        <f>IF(ISNUMBER(M15),R15+S15,0)</f>
        <v>0</v>
      </c>
      <c r="U15" s="32"/>
    </row>
    <row r="16" spans="1:21" ht="15" customHeight="1">
      <c r="A16" s="20" t="str">
        <f>IF($C$6="","",$C$6+6)</f>
        <v/>
      </c>
      <c r="B16" s="6" t="str">
        <f>IF(A16="","",TEXT(A16,"ddd"))</f>
        <v/>
      </c>
      <c r="C16" s="7"/>
      <c r="D16" s="8"/>
      <c r="E16" s="8"/>
      <c r="F16" s="8"/>
      <c r="G16" s="8"/>
      <c r="H16" s="8"/>
      <c r="I16" s="7"/>
      <c r="J16" s="8"/>
      <c r="K16" s="8"/>
      <c r="L16" s="8"/>
      <c r="M16" s="9" t="str">
        <f>IF(OR(D16="",L16=""),"",IF(OR(AND(G16&lt;&gt;"",H16&lt;&gt;"",MOD(IF(ISNUMBER(H16),IF(H16&lt;1,H16,IF(H16&lt;100,TIME(H16,0,0),TIME(INT(H16/100),MOD(H16,100),0))),0)-IF(ISNUMBER(D16),IF(D16&lt;1,D16,IF(D16&lt;100,TIME(D16,0,0),TIME(INT(D16/100),MOD(D16,100),0))),0),1)&lt;=MOD(IF(ISNUMBER(G16),IF(G16&lt;1,G16,IF(G16&lt;100,TIME(G16,0,0),TIME(INT(G16/100),MOD(G16,100),0))),0)-IF(ISNUMBER(D16),IF(D16&lt;1,D16,IF(D16&lt;100,TIME(D16,0,0),TIME(INT(D16/100),MOD(D16,100),0))),0),1)),AND(E16&lt;&gt;"",F16&lt;&gt;"",MOD(IF(ISNUMBER(F16),IF(F16&lt;1,F16,IF(F16&lt;100,TIME(F16,0,0),TIME(INT(F16/100),MOD(F16,100),0))),0)-IF(ISNUMBER(D16),IF(D16&lt;1,D16,IF(D16&lt;100,TIME(D16,0,0),TIME(INT(D16/100),MOD(D16,100),0))),0),1)&lt;=MOD(IF(ISNUMBER(E16),IF(E16&lt;1,E16,IF(E16&lt;100,TIME(E16,0,0),TIME(INT(E16/100),MOD(E16,100),0))),0)-IF(ISNUMBER(D16),IF(D16&lt;1,D16,IF(D16&lt;100,TIME(D16,0,0),TIME(INT(D16/100),MOD(D16,100),0))),0),1)),AND(J16&lt;&gt;"",K16&lt;&gt;"",MOD(IF(ISNUMBER(K16),IF(K16&lt;1,K16,IF(K16&lt;100,TIME(K16,0,0),TIME(INT(K16/100),MOD(K16,100),0))),0)-IF(ISNUMBER(D16),IF(D16&lt;1,D16,IF(D16&lt;100,TIME(D16,0,0),TIME(INT(D16/100),MOD(D16,100),0))),0),1)&lt;=MOD(IF(ISNUMBER(J16),IF(J16&lt;1,J16,IF(J16&lt;100,TIME(J16,0,0),TIME(INT(J16/100),MOD(J16,100),0))),0)-IF(ISNUMBER(D16),IF(D16&lt;1,D16,IF(D16&lt;100,TIME(D16,0,0),TIME(INT(D16/100),MOD(D16,100),0))),0),1)),AND(H16&lt;&gt;"",MOD(IF(ISNUMBER(H16),IF(H16&lt;1,H16,IF(H16&lt;100,TIME(H16,0,0),TIME(INT(H16/100),MOD(H16,100),0))),0)-IF(ISNUMBER(D16),IF(D16&lt;1,D16,IF(D16&lt;100,TIME(D16,0,0),TIME(INT(D16/100),MOD(D16,100),0))),0),1)&gt;MOD(IF(ISNUMBER(L16),IF(L16&lt;1,L16,IF(L16&lt;100,TIME(L16,0,0),TIME(INT(L16/100),MOD(L16,100),0))),0)-IF(ISNUMBER(D16),IF(D16&lt;1,D16,IF(D16&lt;100,TIME(D16,0,0),TIME(INT(D16/100),MOD(D16,100),0))),0),1)),AND(F16&lt;&gt;"",MOD(IF(ISNUMBER(F16),IF(F16&lt;1,F16,IF(F16&lt;100,TIME(F16,0,0),TIME(INT(F16/100),MOD(F16,100),0))),0)-IF(ISNUMBER(D16),IF(D16&lt;1,D16,IF(D16&lt;100,TIME(D16,0,0),TIME(INT(D16/100),MOD(D16,100),0))),0),1)&gt;MOD(IF(ISNUMBER(L16),IF(L16&lt;1,L16,IF(L16&lt;100,TIME(L16,0,0),TIME(INT(L16/100),MOD(L16,100),0))),0)-IF(ISNUMBER(D16),IF(D16&lt;1,D16,IF(D16&lt;100,TIME(D16,0,0),TIME(INT(D16/100),MOD(D16,100),0))),0),1)),AND(K16&lt;&gt;"",MOD(IF(ISNUMBER(K16),IF(K16&lt;1,K16,IF(K16&lt;100,TIME(K16,0,0),TIME(INT(K16/100),MOD(K16,100),0))),0)-IF(ISNUMBER(D16),IF(D16&lt;1,D16,IF(D16&lt;100,TIME(D16,0,0),TIME(INT(D16/100),MOD(D16,100),0))),0),1)&gt;MOD(IF(ISNUMBER(L16),IF(L16&lt;1,L16,IF(L16&lt;100,TIME(L16,0,0),TIME(INT(L16/100),MOD(L16,100),0))),0)-IF(ISNUMBER(D16),IF(D16&lt;1,D16,IF(D16&lt;100,TIME(D16,0,0),TIME(INT(D16/100),MOD(D16,100),0))),0),1))),"CHECK",ROUND((MOD(IF(ISNUMBER(L16),IF(L16&lt;1,L16,IF(L16&lt;100,TIME(L16,0,0),TIME(INT(L16/100),MOD(L16,100),0))),0)-IF(ISNUMBER(D16),IF(D16&lt;1,D16,IF(D16&lt;100,TIME(D16,0,0),TIME(INT(D16/100),MOD(D16,100),0))),0),1)-IF(AND(G16&lt;&gt;"",H16&lt;&gt;""),MOD(IF(ISNUMBER(H16),IF(H16&lt;1,H16,IF(H16&lt;100,TIME(H16,0,0),TIME(INT(H16/100),MOD(H16,100),0))),0)-IF(ISNUMBER(D16),IF(D16&lt;1,D16,IF(D16&lt;100,TIME(D16,0,0),TIME(INT(D16/100),MOD(D16,100),0))),0),1)-MOD(IF(ISNUMBER(G16),IF(G16&lt;1,G16,IF(G16&lt;100,TIME(G16,0,0),TIME(INT(G16/100),MOD(G16,100),0))),0)-IF(ISNUMBER(D16),IF(D16&lt;1,D16,IF(D16&lt;100,TIME(D16,0,0),TIME(INT(D16/100),MOD(D16,100),0))),0),1),0))*24-IF(AND(E16&lt;&gt;"",F16&lt;&gt;""),MAX(0,(MOD(IF(ISNUMBER(F16),IF(F16&lt;1,F16,IF(F16&lt;100,TIME(F16,0,0),TIME(INT(F16/100),MOD(F16,100),0))),0)-IF(ISNUMBER(D16),IF(D16&lt;1,D16,IF(D16&lt;100,TIME(D16,0,0),TIME(INT(D16/100),MOD(D16,100),0))),0),1)-MOD(IF(ISNUMBER(E16),IF(E16&lt;1,E16,IF(E16&lt;100,TIME(E16,0,0),TIME(INT(E16/100),MOD(E16,100),0))),0)-IF(ISNUMBER(D16),IF(D16&lt;1,D16,IF(D16&lt;100,TIME(D16,0,0),TIME(INT(D16/100),MOD(D16,100),0))),0),1))*24-10/60),0)-IF(AND(J16&lt;&gt;"",K16&lt;&gt;""),MAX(0,(MOD(IF(ISNUMBER(K16),IF(K16&lt;1,K16,IF(K16&lt;100,TIME(K16,0,0),TIME(INT(K16/100),MOD(K16,100),0))),0)-IF(ISNUMBER(D16),IF(D16&lt;1,D16,IF(D16&lt;100,TIME(D16,0,0),TIME(INT(D16/100),MOD(D16,100),0))),0),1)-MOD(IF(ISNUMBER(J16),IF(J16&lt;1,J16,IF(J16&lt;100,TIME(J16,0,0),TIME(INT(J16/100),MOD(J16,100),0))),0)-IF(ISNUMBER(D16),IF(D16&lt;1,D16,IF(D16&lt;100,TIME(D16,0,0),TIME(INT(D16/100),MOD(D16,100),0))),0),1))*24-10/60),0),2)))</f>
        <v/>
      </c>
      <c r="N16" s="9" t="str">
        <f>IF(ISNUMBER(M16),IF(UPPER(Q16)="Y",0,MIN(8,M16)),"")</f>
        <v/>
      </c>
      <c r="O16" s="9" t="str">
        <f>IF(ISNUMBER(M16),IF(UPPER(Q16)="Y",MIN(8,M16),MAX(0,MIN(12,M16)-8)),"")</f>
        <v/>
      </c>
      <c r="P16" s="9" t="str">
        <f>IF(ISNUMBER(M16),IF(UPPER(Q16)="Y",MAX(0,M16-8),MAX(0,M16-12)),"")</f>
        <v/>
      </c>
      <c r="Q16" s="6" t="str">
        <f>IF(AND(ISNUMBER(M10),ISNUMBER(M11),ISNUMBER(M12),ISNUMBER(M13),ISNUMBER(M14),ISNUMBER(M15),ISNUMBER(M16)),"Y","")</f>
        <v/>
      </c>
      <c r="R16" s="6">
        <f>IF(ISNUMBER(M16),IF(AND(M16&gt;5,OR(G16="",H16=""),UPPER(I16)&lt;&gt;"Y"),1,0),0)</f>
        <v>0</v>
      </c>
      <c r="S16" s="6">
        <f>IF(ISNUMBER(M16),IF(OR(AND(M16&gt;3.5,OR(E16="",F16="")),AND(M16&gt;6,OR(J16="",K16=""))),1,0),0)</f>
        <v>0</v>
      </c>
      <c r="T16" s="6">
        <f>IF(ISNUMBER(M16),R16+S16,0)</f>
        <v>0</v>
      </c>
      <c r="U16" s="32"/>
    </row>
    <row r="17" spans="1:21" ht="15" customHeight="1">
      <c r="A17" s="53" t="s">
        <v>30</v>
      </c>
      <c r="B17" s="65"/>
      <c r="C17" s="65"/>
      <c r="D17" s="65"/>
      <c r="E17" s="65"/>
      <c r="F17" s="65"/>
      <c r="G17" s="65"/>
      <c r="H17" s="65"/>
      <c r="I17" s="65"/>
      <c r="J17" s="65"/>
      <c r="K17" s="65"/>
      <c r="L17" s="66"/>
      <c r="M17" s="16">
        <f>SUM(M10:M16)</f>
        <v>0</v>
      </c>
      <c r="N17" s="16">
        <f>SUM(N10:N16)</f>
        <v>0</v>
      </c>
      <c r="O17" s="16">
        <f>SUM(O10:O16)</f>
        <v>0</v>
      </c>
      <c r="P17" s="16">
        <f>SUM(P10:P16)</f>
        <v>0</v>
      </c>
      <c r="Q17" s="17"/>
      <c r="R17" s="16">
        <f>SUM(R10:R16)</f>
        <v>0</v>
      </c>
      <c r="S17" s="16">
        <f>SUM(S10:S16)</f>
        <v>0</v>
      </c>
      <c r="T17" s="16">
        <f>SUM(T10:T16)</f>
        <v>0</v>
      </c>
      <c r="U17" s="32"/>
    </row>
    <row r="18" spans="1:21" ht="6" customHeight="1">
      <c r="A18" s="33"/>
      <c r="U18" s="32"/>
    </row>
    <row r="19" spans="1:21" ht="15" customHeight="1">
      <c r="A19" s="67" t="s">
        <v>31</v>
      </c>
      <c r="B19" s="68"/>
      <c r="C19" s="68"/>
      <c r="D19" s="68"/>
      <c r="E19" s="68"/>
      <c r="F19" s="68"/>
      <c r="G19" s="68"/>
      <c r="H19" s="69"/>
      <c r="U19" s="32"/>
    </row>
    <row r="20" spans="1:21" ht="15" customHeight="1">
      <c r="A20" s="50" t="s">
        <v>32</v>
      </c>
      <c r="B20" s="68"/>
      <c r="C20" s="68"/>
      <c r="D20" s="68"/>
      <c r="E20" s="69"/>
      <c r="F20" s="42">
        <f>M17</f>
        <v>0</v>
      </c>
      <c r="G20" s="70"/>
      <c r="H20" s="71"/>
      <c r="U20" s="32"/>
    </row>
    <row r="21" spans="1:21" ht="15" customHeight="1">
      <c r="A21" s="49" t="s">
        <v>33</v>
      </c>
      <c r="B21" s="68"/>
      <c r="C21" s="68"/>
      <c r="D21" s="68"/>
      <c r="E21" s="69"/>
      <c r="F21" s="41">
        <f>MIN(40,N17)</f>
        <v>0</v>
      </c>
      <c r="G21" s="70"/>
      <c r="H21" s="71"/>
      <c r="U21" s="32"/>
    </row>
    <row r="22" spans="1:21" ht="15" customHeight="1">
      <c r="A22" s="50" t="s">
        <v>34</v>
      </c>
      <c r="B22" s="68"/>
      <c r="C22" s="68"/>
      <c r="D22" s="68"/>
      <c r="E22" s="69"/>
      <c r="F22" s="42">
        <f>O17</f>
        <v>0</v>
      </c>
      <c r="G22" s="70"/>
      <c r="H22" s="71"/>
      <c r="U22" s="32"/>
    </row>
    <row r="23" spans="1:21" ht="15" customHeight="1">
      <c r="A23" s="49" t="s">
        <v>35</v>
      </c>
      <c r="B23" s="68"/>
      <c r="C23" s="68"/>
      <c r="D23" s="68"/>
      <c r="E23" s="69"/>
      <c r="F23" s="41">
        <f>MAX(0,N17-40)</f>
        <v>0</v>
      </c>
      <c r="G23" s="70"/>
      <c r="H23" s="71"/>
      <c r="U23" s="32"/>
    </row>
    <row r="24" spans="1:21" ht="15" customHeight="1">
      <c r="A24" s="50" t="s">
        <v>36</v>
      </c>
      <c r="B24" s="68"/>
      <c r="C24" s="68"/>
      <c r="D24" s="68"/>
      <c r="E24" s="69"/>
      <c r="F24" s="42">
        <f>O17+MAX(0,N17-40)</f>
        <v>0</v>
      </c>
      <c r="G24" s="70"/>
      <c r="H24" s="71"/>
      <c r="U24" s="32"/>
    </row>
    <row r="25" spans="1:21" ht="15" customHeight="1">
      <c r="A25" s="49" t="s">
        <v>37</v>
      </c>
      <c r="B25" s="68"/>
      <c r="C25" s="68"/>
      <c r="D25" s="68"/>
      <c r="E25" s="69"/>
      <c r="F25" s="41">
        <f>P17</f>
        <v>0</v>
      </c>
      <c r="G25" s="70"/>
      <c r="H25" s="71"/>
      <c r="U25" s="32"/>
    </row>
    <row r="26" spans="1:21" ht="15" customHeight="1">
      <c r="A26" s="50" t="s">
        <v>38</v>
      </c>
      <c r="B26" s="68"/>
      <c r="C26" s="68"/>
      <c r="D26" s="68"/>
      <c r="E26" s="69"/>
      <c r="F26" s="57"/>
      <c r="G26" s="72"/>
      <c r="H26" s="73"/>
      <c r="U26" s="32"/>
    </row>
    <row r="27" spans="1:21" ht="15" customHeight="1">
      <c r="A27" s="49" t="s">
        <v>39</v>
      </c>
      <c r="B27" s="68"/>
      <c r="C27" s="68"/>
      <c r="D27" s="68"/>
      <c r="E27" s="69"/>
      <c r="F27" s="41">
        <f>T17</f>
        <v>0</v>
      </c>
      <c r="G27" s="70"/>
      <c r="H27" s="71"/>
      <c r="U27" s="32"/>
    </row>
    <row r="28" spans="1:21" ht="6" customHeight="1">
      <c r="A28" s="31"/>
      <c r="B28" s="1"/>
      <c r="C28" s="1"/>
      <c r="D28" s="1"/>
      <c r="E28" s="1"/>
      <c r="F28" s="1"/>
      <c r="G28" s="1"/>
      <c r="H28" s="1"/>
      <c r="I28" s="1"/>
      <c r="J28" s="1"/>
      <c r="K28" s="1"/>
      <c r="L28" s="1"/>
      <c r="M28" s="1"/>
      <c r="N28" s="1"/>
      <c r="O28" s="1"/>
      <c r="P28" s="1"/>
      <c r="Q28" s="1"/>
      <c r="R28" s="1"/>
      <c r="S28" s="1"/>
      <c r="T28" s="1"/>
      <c r="U28" s="32"/>
    </row>
    <row r="29" spans="1:21" ht="15" customHeight="1">
      <c r="A29" s="74" t="s">
        <v>40</v>
      </c>
      <c r="B29" s="61"/>
      <c r="C29" s="61"/>
      <c r="D29" s="61"/>
      <c r="E29" s="61"/>
      <c r="F29" s="61"/>
      <c r="G29" s="61"/>
      <c r="H29" s="61"/>
      <c r="I29" s="61"/>
      <c r="J29" s="61"/>
      <c r="K29" s="61"/>
      <c r="L29" s="61"/>
      <c r="M29" s="61"/>
      <c r="N29" s="61"/>
      <c r="O29" s="61"/>
      <c r="P29" s="61"/>
      <c r="Q29" s="61"/>
      <c r="R29" s="61"/>
      <c r="S29" s="61"/>
      <c r="T29" s="61"/>
      <c r="U29" s="32"/>
    </row>
    <row r="30" spans="1:21" ht="15" customHeight="1">
      <c r="A30" s="51" t="s">
        <v>41</v>
      </c>
      <c r="B30" s="61"/>
      <c r="C30" s="61"/>
      <c r="D30" s="61"/>
      <c r="E30" s="61"/>
      <c r="F30" s="61"/>
      <c r="G30" s="61"/>
      <c r="H30" s="61"/>
      <c r="I30" s="61"/>
      <c r="J30" s="61"/>
      <c r="K30" s="61"/>
      <c r="L30" s="61"/>
      <c r="M30" s="61"/>
      <c r="N30" s="61"/>
      <c r="O30" s="61"/>
      <c r="P30" s="61"/>
      <c r="Q30" s="61"/>
      <c r="R30" s="61"/>
      <c r="S30" s="61"/>
      <c r="T30" s="61"/>
      <c r="U30" s="32"/>
    </row>
    <row r="31" spans="1:21">
      <c r="A31" s="75"/>
      <c r="B31" s="61"/>
      <c r="C31" s="61"/>
      <c r="D31" s="61"/>
      <c r="E31" s="61"/>
      <c r="F31" s="61"/>
      <c r="G31" s="61"/>
      <c r="H31" s="61"/>
      <c r="I31" s="61"/>
      <c r="J31" s="61"/>
      <c r="K31" s="61"/>
      <c r="L31" s="61"/>
      <c r="M31" s="61"/>
      <c r="N31" s="61"/>
      <c r="O31" s="61"/>
      <c r="P31" s="61"/>
      <c r="Q31" s="61"/>
      <c r="R31" s="61"/>
      <c r="S31" s="61"/>
      <c r="T31" s="61"/>
      <c r="U31" s="32"/>
    </row>
    <row r="32" spans="1:21">
      <c r="A32" s="31"/>
      <c r="B32" s="1"/>
      <c r="C32" s="1"/>
      <c r="D32" s="1"/>
      <c r="E32" s="1"/>
      <c r="F32" s="1"/>
      <c r="G32" s="1"/>
      <c r="H32" s="1"/>
      <c r="I32" s="1"/>
      <c r="J32" s="1"/>
      <c r="K32" s="1"/>
      <c r="L32" s="1"/>
      <c r="M32" s="1"/>
      <c r="N32" s="1"/>
      <c r="O32" s="1"/>
      <c r="P32" s="1"/>
      <c r="Q32" s="1"/>
      <c r="R32" s="1"/>
      <c r="S32" s="1"/>
      <c r="T32" s="1"/>
      <c r="U32" s="32"/>
    </row>
    <row r="33" spans="1:22" ht="15" customHeight="1">
      <c r="A33" s="48" t="s">
        <v>42</v>
      </c>
      <c r="B33" s="61"/>
      <c r="C33" s="61"/>
      <c r="D33" s="76"/>
      <c r="E33" s="77"/>
      <c r="F33" s="77"/>
      <c r="G33" s="77"/>
      <c r="H33" s="77"/>
      <c r="I33" s="77"/>
      <c r="J33" s="1"/>
      <c r="K33" s="56" t="s">
        <v>43</v>
      </c>
      <c r="L33" s="78"/>
      <c r="M33" s="76"/>
      <c r="N33" s="77"/>
      <c r="O33" s="77"/>
      <c r="P33" s="77"/>
      <c r="Q33" s="1"/>
      <c r="R33" s="1"/>
      <c r="S33" s="1"/>
      <c r="T33" s="1"/>
      <c r="U33" s="32"/>
    </row>
    <row r="34" spans="1:22" ht="15" customHeight="1">
      <c r="A34" s="48" t="s">
        <v>44</v>
      </c>
      <c r="B34" s="61"/>
      <c r="C34" s="61"/>
      <c r="D34" s="76"/>
      <c r="E34" s="77"/>
      <c r="F34" s="77"/>
      <c r="G34" s="77"/>
      <c r="H34" s="77"/>
      <c r="I34" s="77"/>
      <c r="J34" s="1"/>
      <c r="K34" s="43" t="s">
        <v>43</v>
      </c>
      <c r="L34" s="61"/>
      <c r="M34" s="76"/>
      <c r="N34" s="77"/>
      <c r="O34" s="77"/>
      <c r="P34" s="77"/>
      <c r="Q34" s="1"/>
      <c r="R34" s="1"/>
      <c r="S34" s="1"/>
      <c r="T34" s="1"/>
      <c r="U34" s="32"/>
    </row>
    <row r="35" spans="1:22">
      <c r="A35" s="31"/>
      <c r="B35" s="1"/>
      <c r="C35" s="2"/>
      <c r="D35" s="2"/>
      <c r="E35" s="1"/>
      <c r="F35" s="1"/>
      <c r="G35" s="1"/>
      <c r="H35" s="1"/>
      <c r="I35" s="1"/>
      <c r="J35" s="1"/>
      <c r="K35" s="2"/>
      <c r="L35" s="2"/>
      <c r="M35" s="2"/>
      <c r="N35" s="1"/>
      <c r="O35" s="1"/>
      <c r="P35" s="1"/>
      <c r="Q35" s="1"/>
      <c r="R35" s="1"/>
      <c r="S35" s="1"/>
      <c r="T35" s="1"/>
      <c r="U35" s="32"/>
    </row>
    <row r="36" spans="1:22" ht="15" customHeight="1">
      <c r="A36" s="74" t="s">
        <v>45</v>
      </c>
      <c r="B36" s="61"/>
      <c r="C36" s="61"/>
      <c r="D36" s="61"/>
      <c r="E36" s="61"/>
      <c r="F36" s="61"/>
      <c r="G36" s="61"/>
      <c r="H36" s="61"/>
      <c r="I36" s="61"/>
      <c r="J36" s="61"/>
      <c r="K36" s="61"/>
      <c r="L36" s="61"/>
      <c r="M36" s="61"/>
      <c r="N36" s="61"/>
      <c r="O36" s="61"/>
      <c r="P36" s="61"/>
      <c r="Q36" s="61"/>
      <c r="R36" s="61"/>
      <c r="S36" s="61"/>
      <c r="T36" s="61"/>
      <c r="U36" s="32"/>
    </row>
    <row r="37" spans="1:22" ht="15" customHeight="1">
      <c r="A37" s="51" t="s">
        <v>46</v>
      </c>
      <c r="B37" s="61"/>
      <c r="C37" s="61"/>
      <c r="D37" s="61"/>
      <c r="E37" s="61"/>
      <c r="F37" s="61"/>
      <c r="G37" s="61"/>
      <c r="H37" s="61"/>
      <c r="I37" s="61"/>
      <c r="J37" s="61"/>
      <c r="K37" s="61"/>
      <c r="L37" s="61"/>
      <c r="M37" s="61"/>
      <c r="N37" s="61"/>
      <c r="O37" s="61"/>
      <c r="P37" s="61"/>
      <c r="Q37" s="61"/>
      <c r="R37" s="61"/>
      <c r="S37" s="61"/>
      <c r="T37" s="61"/>
      <c r="U37" s="32"/>
    </row>
    <row r="38" spans="1:22">
      <c r="A38" s="75"/>
      <c r="B38" s="61"/>
      <c r="C38" s="61"/>
      <c r="D38" s="61"/>
      <c r="E38" s="61"/>
      <c r="F38" s="61"/>
      <c r="G38" s="61"/>
      <c r="H38" s="61"/>
      <c r="I38" s="61"/>
      <c r="J38" s="61"/>
      <c r="K38" s="61"/>
      <c r="L38" s="61"/>
      <c r="M38" s="61"/>
      <c r="N38" s="61"/>
      <c r="O38" s="61"/>
      <c r="P38" s="61"/>
      <c r="Q38" s="61"/>
      <c r="R38" s="61"/>
      <c r="S38" s="61"/>
      <c r="T38" s="61"/>
      <c r="U38" s="32"/>
    </row>
    <row r="39" spans="1:22">
      <c r="A39" s="31"/>
      <c r="B39" s="1"/>
      <c r="C39" s="1"/>
      <c r="D39" s="1"/>
      <c r="E39" s="1"/>
      <c r="F39" s="1"/>
      <c r="G39" s="1"/>
      <c r="H39" s="1"/>
      <c r="I39" s="1"/>
      <c r="J39" s="1"/>
      <c r="K39" s="1"/>
      <c r="L39" s="1"/>
      <c r="M39" s="1"/>
      <c r="N39" s="1"/>
      <c r="O39" s="1"/>
      <c r="P39" s="1"/>
      <c r="Q39" s="1"/>
      <c r="R39" s="1"/>
      <c r="S39" s="1"/>
      <c r="T39" s="1"/>
      <c r="U39" s="32"/>
    </row>
    <row r="40" spans="1:22" ht="15" customHeight="1">
      <c r="A40" s="48" t="s">
        <v>42</v>
      </c>
      <c r="B40" s="61"/>
      <c r="C40" s="61"/>
      <c r="D40" s="76"/>
      <c r="E40" s="77"/>
      <c r="F40" s="77"/>
      <c r="G40" s="77"/>
      <c r="H40" s="77"/>
      <c r="I40" s="77"/>
      <c r="J40" s="34"/>
      <c r="K40" s="54" t="s">
        <v>43</v>
      </c>
      <c r="L40" s="61"/>
      <c r="M40" s="76"/>
      <c r="N40" s="77"/>
      <c r="O40" s="77"/>
      <c r="P40" s="77"/>
      <c r="Q40" s="34"/>
      <c r="R40" s="34"/>
      <c r="S40" s="34"/>
      <c r="T40" s="34"/>
      <c r="U40" s="32"/>
    </row>
    <row r="41" spans="1:22">
      <c r="A41" s="23"/>
      <c r="B41" s="24"/>
      <c r="C41" s="35"/>
      <c r="D41" s="35"/>
      <c r="E41" s="24"/>
      <c r="F41" s="24"/>
      <c r="G41" s="24"/>
      <c r="H41" s="24"/>
      <c r="I41" s="24"/>
      <c r="J41" s="24"/>
      <c r="K41" s="35"/>
      <c r="L41" s="35"/>
      <c r="M41" s="35"/>
      <c r="N41" s="24"/>
      <c r="O41" s="24"/>
      <c r="P41" s="24"/>
      <c r="Q41" s="24"/>
      <c r="R41" s="24"/>
      <c r="S41" s="24"/>
      <c r="T41" s="24"/>
      <c r="U41" s="25"/>
      <c r="V41" s="36"/>
    </row>
    <row r="42" spans="1:22">
      <c r="A42" s="34"/>
      <c r="B42" s="34"/>
      <c r="C42" s="34"/>
      <c r="D42" s="37"/>
      <c r="E42" s="34"/>
      <c r="F42" s="34"/>
      <c r="G42" s="34"/>
      <c r="H42" s="34"/>
      <c r="I42" s="34"/>
      <c r="J42" s="34"/>
      <c r="K42" s="34"/>
      <c r="L42" s="34"/>
      <c r="M42" s="37"/>
      <c r="N42" s="34"/>
      <c r="O42" s="34"/>
      <c r="P42" s="34"/>
      <c r="Q42" s="34"/>
      <c r="R42" s="34"/>
      <c r="S42" s="34"/>
      <c r="T42" s="34"/>
      <c r="U42" s="36"/>
      <c r="V42" s="36"/>
    </row>
    <row r="43" spans="1:22">
      <c r="A43" s="34"/>
      <c r="B43" s="34"/>
      <c r="C43" s="34"/>
      <c r="D43" s="34"/>
      <c r="E43" s="34"/>
      <c r="F43" s="34"/>
      <c r="G43" s="34"/>
      <c r="H43" s="34"/>
      <c r="I43" s="34"/>
      <c r="J43" s="34"/>
      <c r="K43" s="34"/>
      <c r="L43" s="34"/>
      <c r="M43" s="34"/>
      <c r="N43" s="34"/>
      <c r="O43" s="34"/>
      <c r="P43" s="34"/>
      <c r="Q43" s="34"/>
      <c r="R43" s="34"/>
      <c r="S43" s="34"/>
      <c r="T43" s="34"/>
      <c r="U43" s="36"/>
      <c r="V43" s="36"/>
    </row>
    <row r="44" spans="1:22">
      <c r="A44" s="34"/>
      <c r="B44" s="34"/>
      <c r="C44" s="34"/>
      <c r="D44" s="34"/>
      <c r="E44" s="34"/>
      <c r="F44" s="34"/>
      <c r="G44" s="34"/>
      <c r="H44" s="34"/>
      <c r="I44" s="34"/>
      <c r="J44" s="34"/>
      <c r="K44" s="34"/>
      <c r="L44" s="34"/>
      <c r="M44" s="34"/>
      <c r="N44" s="34"/>
      <c r="O44" s="34"/>
      <c r="P44" s="34"/>
      <c r="Q44" s="34"/>
      <c r="R44" s="34"/>
      <c r="S44" s="34"/>
      <c r="T44" s="34"/>
      <c r="U44" s="36"/>
      <c r="V44" s="36"/>
    </row>
    <row r="45" spans="1:22">
      <c r="A45" s="34"/>
      <c r="B45" s="34"/>
      <c r="C45" s="34"/>
      <c r="D45" s="34"/>
      <c r="E45" s="34"/>
      <c r="F45" s="34"/>
      <c r="G45" s="34"/>
      <c r="H45" s="34"/>
      <c r="I45" s="34"/>
      <c r="J45" s="34"/>
      <c r="K45" s="34"/>
      <c r="L45" s="34"/>
      <c r="M45" s="34"/>
      <c r="N45" s="34"/>
      <c r="O45" s="34"/>
      <c r="P45" s="34"/>
      <c r="Q45" s="34"/>
      <c r="R45" s="34"/>
      <c r="S45" s="34"/>
      <c r="T45" s="34"/>
      <c r="U45" s="36"/>
      <c r="V45" s="36"/>
    </row>
    <row r="46" spans="1:22">
      <c r="A46" s="36"/>
      <c r="B46" s="36"/>
      <c r="C46" s="36"/>
      <c r="D46" s="36"/>
      <c r="E46" s="36"/>
      <c r="F46" s="36"/>
      <c r="G46" s="36"/>
      <c r="H46" s="36"/>
      <c r="I46" s="36"/>
      <c r="J46" s="36"/>
      <c r="K46" s="36"/>
      <c r="L46" s="36"/>
      <c r="M46" s="36"/>
      <c r="N46" s="36"/>
      <c r="O46" s="36"/>
      <c r="P46" s="36"/>
      <c r="Q46" s="36"/>
      <c r="R46" s="36"/>
      <c r="S46" s="36"/>
      <c r="T46" s="36"/>
      <c r="U46" s="36"/>
      <c r="V46" s="36"/>
    </row>
  </sheetData>
  <sheetProtection sheet="1" formatCells="0"/>
  <mergeCells count="50">
    <mergeCell ref="C5:D5"/>
    <mergeCell ref="K33:L33"/>
    <mergeCell ref="K5:L5"/>
    <mergeCell ref="F6:G6"/>
    <mergeCell ref="F26:H26"/>
    <mergeCell ref="F23:H23"/>
    <mergeCell ref="H6:J6"/>
    <mergeCell ref="A33:C33"/>
    <mergeCell ref="F22:H22"/>
    <mergeCell ref="A25:E25"/>
    <mergeCell ref="F5:G5"/>
    <mergeCell ref="A27:E27"/>
    <mergeCell ref="M40:P40"/>
    <mergeCell ref="F20:H20"/>
    <mergeCell ref="C6:D6"/>
    <mergeCell ref="K34:L34"/>
    <mergeCell ref="A24:E24"/>
    <mergeCell ref="A6:B6"/>
    <mergeCell ref="A40:C40"/>
    <mergeCell ref="A23:E23"/>
    <mergeCell ref="A34:C34"/>
    <mergeCell ref="A22:E22"/>
    <mergeCell ref="F25:H25"/>
    <mergeCell ref="D34:I34"/>
    <mergeCell ref="D40:I40"/>
    <mergeCell ref="A37:T38"/>
    <mergeCell ref="A36:T36"/>
    <mergeCell ref="D33:I33"/>
    <mergeCell ref="A26:E26"/>
    <mergeCell ref="A29:T29"/>
    <mergeCell ref="F27:H27"/>
    <mergeCell ref="M34:P34"/>
    <mergeCell ref="K40:L40"/>
    <mergeCell ref="A30:T31"/>
    <mergeCell ref="A1:T1"/>
    <mergeCell ref="F21:H21"/>
    <mergeCell ref="F24:H24"/>
    <mergeCell ref="M33:P33"/>
    <mergeCell ref="K6:L6"/>
    <mergeCell ref="M5:P5"/>
    <mergeCell ref="M6:P6"/>
    <mergeCell ref="A3:K3"/>
    <mergeCell ref="L3:Q3"/>
    <mergeCell ref="H5:J5"/>
    <mergeCell ref="A5:B5"/>
    <mergeCell ref="A20:E20"/>
    <mergeCell ref="A19:H19"/>
    <mergeCell ref="A8:T8"/>
    <mergeCell ref="A21:E21"/>
    <mergeCell ref="A17:L17"/>
  </mergeCells>
  <conditionalFormatting sqref="G10:H16">
    <cfRule type="expression" dxfId="2" priority="2">
      <formula>AND($G10&lt;&gt;"",OR(AND($H10&lt;&gt;"",MOD(IF(ISNUMBER($H10),IF($H10&lt;1,$H10,IF($H10&lt;100,TIME($H10,0,0),TIME(INT($H10/100),MOD($H10,100),0))),0)-IF(ISNUMBER($D10),IF($D10&lt;1,$D10,IF($D10&lt;100,TIME($D10,0,0),TIME(INT($D10/100),MOD($D10,100),0))),0),1)&lt;=MOD(IF(ISNUMBER($G10),IF($G10&lt;1,$G10,IF($G10&lt;100,TIME($G10,0,0),TIME(INT($G10/100),MOD($G10,100),0))),0)-IF(ISNUMBER($D10),IF($D10&lt;1,$D10,IF($D10&lt;100,TIME($D10,0,0),TIME(INT($D10/100),MOD($D10,100),0))),0),1)),AND($H10&lt;&gt;"",MOD(IF(ISNUMBER($H10),IF($H10&lt;1,$H10,IF($H10&lt;100,TIME($H10,0,0),TIME(INT($H10/100),MOD($H10,100),0))),0)-IF(ISNUMBER($D10),IF($D10&lt;1,$D10,IF($D10&lt;100,TIME($D10,0,0),TIME(INT($D10/100),MOD($D10,100),0))),0),1)&gt;MOD(IF(ISNUMBER($L10),IF($L10&lt;1,$L10,IF($L10&lt;100,TIME($L10,0,0),TIME(INT($L10/100),MOD($L10,100),0))),0)-IF(ISNUMBER($D10),IF($D10&lt;1,$D10,IF($D10&lt;100,TIME($D10,0,0),TIME(INT($D10/100),MOD($D10,100),0))),0),1)),MOD(IF(ISNUMBER($G10),IF($G10&lt;1,$G10,IF($G10&lt;100,TIME($G10,0,0),TIME(INT($G10/100),MOD($G10,100),0))),0)-IF(ISNUMBER($D10),IF($D10&lt;1,$D10,IF($D10&lt;100,TIME($D10,0,0),TIME(INT($D10/100),MOD($D10,100),0))),0),1)&gt;MOD(IF(ISNUMBER($L10),IF($L10&lt;1,$L10,IF($L10&lt;100,TIME($L10,0,0),TIME(INT($L10/100),MOD($L10,100),0))),0)-IF(ISNUMBER($D10),IF($D10&lt;1,$D10,IF($D10&lt;100,TIME($D10,0,0),TIME(INT($D10/100),MOD($D10,100),0))),0),1)))</formula>
    </cfRule>
  </conditionalFormatting>
  <conditionalFormatting sqref="E10:F16">
    <cfRule type="expression" dxfId="1" priority="3">
      <formula>AND($E10&lt;&gt;"",OR(AND($F10&lt;&gt;"",MOD(IF(ISNUMBER($F10),IF($F10&lt;1,$F10,IF($F10&lt;100,TIME($F10,0,0),TIME(INT($F10/100),MOD($F10,100),0))),0)-IF(ISNUMBER($D10),IF($D10&lt;1,$D10,IF($D10&lt;100,TIME($D10,0,0),TIME(INT($D10/100),MOD($D10,100),0))),0),1)&lt;=MOD(IF(ISNUMBER($E10),IF($E10&lt;1,$E10,IF($E10&lt;100,TIME($E10,0,0),TIME(INT($E10/100),MOD($E10,100),0))),0)-IF(ISNUMBER($D10),IF($D10&lt;1,$D10,IF($D10&lt;100,TIME($D10,0,0),TIME(INT($D10/100),MOD($D10,100),0))),0),1)),AND($F10&lt;&gt;"",MOD(IF(ISNUMBER($F10),IF($F10&lt;1,$F10,IF($F10&lt;100,TIME($F10,0,0),TIME(INT($F10/100),MOD($F10,100),0))),0)-IF(ISNUMBER($D10),IF($D10&lt;1,$D10,IF($D10&lt;100,TIME($D10,0,0),TIME(INT($D10/100),MOD($D10,100),0))),0),1)&gt;MOD(IF(ISNUMBER($L10),IF($L10&lt;1,$L10,IF($L10&lt;100,TIME($L10,0,0),TIME(INT($L10/100),MOD($L10,100),0))),0)-IF(ISNUMBER($D10),IF($D10&lt;1,$D10,IF($D10&lt;100,TIME($D10,0,0),TIME(INT($D10/100),MOD($D10,100),0))),0),1)),MOD(IF(ISNUMBER($E10),IF($E10&lt;1,$E10,IF($E10&lt;100,TIME($E10,0,0),TIME(INT($E10/100),MOD($E10,100),0))),0)-IF(ISNUMBER($D10),IF($D10&lt;1,$D10,IF($D10&lt;100,TIME($D10,0,0),TIME(INT($D10/100),MOD($D10,100),0))),0),1)&gt;MOD(IF(ISNUMBER($L10),IF($L10&lt;1,$L10,IF($L10&lt;100,TIME($L10,0,0),TIME(INT($L10/100),MOD($L10,100),0))),0)-IF(ISNUMBER($D10),IF($D10&lt;1,$D10,IF($D10&lt;100,TIME($D10,0,0),TIME(INT($D10/100),MOD($D10,100),0))),0),1)))</formula>
    </cfRule>
  </conditionalFormatting>
  <conditionalFormatting sqref="J10:K16">
    <cfRule type="expression" dxfId="0" priority="4">
      <formula>AND($J10&lt;&gt;"",OR(AND($K10&lt;&gt;"",MOD(IF(ISNUMBER($K10),IF($K10&lt;1,$K10,IF($K10&lt;100,TIME($K10,0,0),TIME(INT($K10/100),MOD($K10,100),0))),0)-IF(ISNUMBER($D10),IF($D10&lt;1,$D10,IF($D10&lt;100,TIME($D10,0,0),TIME(INT($D10/100),MOD($D10,100),0))),0),1)&lt;=MOD(IF(ISNUMBER($J10),IF($J10&lt;1,$J10,IF($J10&lt;100,TIME($J10,0,0),TIME(INT($J10/100),MOD($J10,100),0))),0)-IF(ISNUMBER($D10),IF($D10&lt;1,$D10,IF($D10&lt;100,TIME($D10,0,0),TIME(INT($D10/100),MOD($D10,100),0))),0),1)),AND($K10&lt;&gt;"",MOD(IF(ISNUMBER($K10),IF($K10&lt;1,$K10,IF($K10&lt;100,TIME($K10,0,0),TIME(INT($K10/100),MOD($K10,100),0))),0)-IF(ISNUMBER($D10),IF($D10&lt;1,$D10,IF($D10&lt;100,TIME($D10,0,0),TIME(INT($D10/100),MOD($D10,100),0))),0),1)&gt;MOD(IF(ISNUMBER($L10),IF($L10&lt;1,$L10,IF($L10&lt;100,TIME($L10,0,0),TIME(INT($L10/100),MOD($L10,100),0))),0)-IF(ISNUMBER($D10),IF($D10&lt;1,$D10,IF($D10&lt;100,TIME($D10,0,0),TIME(INT($D10/100),MOD($D10,100),0))),0),1)),MOD(IF(ISNUMBER($J10),IF($J10&lt;1,$J10,IF($J10&lt;100,TIME($J10,0,0),TIME(INT($J10/100),MOD($J10,100),0))),0)-IF(ISNUMBER($D10),IF($D10&lt;1,$D10,IF($D10&lt;100,TIME($D10,0,0),TIME(INT($D10/100),MOD($D10,100),0))),0),1)&gt;MOD(IF(ISNUMBER($L10),IF($L10&lt;1,$L10,IF($L10&lt;100,TIME($L10,0,0),TIME(INT($L10/100),MOD($L10,100),0))),0)-IF(ISNUMBER($D10),IF($D10&lt;1,$D10,IF($D10&lt;100,TIME($D10,0,0),TIME(INT($D10/100),MOD($D10,100),0))),0),1)))</formula>
    </cfRule>
  </conditionalFormatting>
  <dataValidations count="5">
    <dataValidation type="custom" allowBlank="1" showInputMessage="1" showErrorMessage="1" errorTitle="Week Start must be a Sunday" error="Type the Sunday your week began, for example 11-Oct-2026. Week End fills in by itself as the Saturday." promptTitle="Week Start" prompt="The Sunday your week began. Week End fills in by itself." sqref="C6" xr:uid="{00000000-0002-0000-0000-000000000000}">
      <formula1>AND(ISNUMBER(C6),WEEKDAY(C6)=1)</formula1>
    </dataValidation>
    <dataValidation type="custom" allowBlank="1" showInputMessage="1" showErrorMessage="1" errorTitle="Employee ID" error="Type your ID as one letter and three numbers, for example A013. HR gave you this ID." promptTitle="Employee ID" prompt="Your AmeriCloud employee ID from HR, for example A013." sqref="H5" xr:uid="{00000000-0002-0000-0000-000001000000}">
      <formula1>AND(LEN(H5)=4,OR(LEFT(H5,1)="A"),ISNUMBER(--MID(H5,2,1)),ISNUMBER(--MID(H5,3,1)),ISNUMBER(--MID(H5,4,1)))</formula1>
    </dataValidation>
    <dataValidation type="list" allowBlank="1" showInputMessage="1" showErrorMessage="1" errorTitle="Pick a department" error="Choose your department from the list." promptTitle="Department" prompt="The department you were in at the end of this week." sqref="M5" xr:uid="{00000000-0002-0000-0000-000002000000}">
      <formula1>"BBU Swaps,Construction,Design,Integration,Optimization,RF Data Collection,Overhead"</formula1>
    </dataValidation>
    <dataValidation type="list" allowBlank="1" showErrorMessage="1" errorTitle="Invalid entry" error="Enter Y or N only (or leave blank)." sqref="I10:I16" xr:uid="{00000000-0002-0000-0000-000003000000}">
      <formula1>"Y,N"</formula1>
      <formula2>0</formula2>
    </dataValidation>
    <dataValidation type="custom" allowBlank="1" showInputMessage="1" showErrorMessage="1" errorTitle="That is not a valid code" error="Type one of three things. A project code: three capital letters then nine digits, as your manager gives it. Or INT for non-billable time. Or a code from the Code List tab: an LBR code, or BDV1070 for RFP work. Nothing else is accepted." promptTitle="Project Code" prompt="Three capital letters then nine digits, from your manager. Or a code from the Code List tab, such as LBR1030 or BDV1070 for RFP work." sqref="C10:C16" xr:uid="{00000000-0002-0000-0000-000004000000}">
      <formula1>OR(C10="",C10="INT",COUNTIF(CODELIST,C10)&gt;0,AND(LEN(C10)=12,EXACT(C10,UPPER(C10)),ISNUMBER(VALUE(MID(C10,4,9))),ISERROR(VALUE(LEFT(C10,3)))))</formula1>
    </dataValidation>
  </dataValidations>
  <printOptions horizontalCentered="1"/>
  <pageMargins left="0.2" right="0.2" top="0.2" bottom="0.2"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2:G59"/>
  <sheetViews>
    <sheetView showGridLines="0" workbookViewId="0">
      <pane ySplit="7" topLeftCell="A8" activePane="bottomLeft" state="frozen"/>
      <selection pane="bottomLeft"/>
    </sheetView>
  </sheetViews>
  <sheetFormatPr defaultRowHeight="15"/>
  <cols>
    <col min="1" max="1" width="11" customWidth="1"/>
    <col min="2" max="2" width="30" customWidth="1"/>
    <col min="3" max="3" width="46" customWidth="1"/>
  </cols>
  <sheetData>
    <row r="2" spans="1:3" ht="21.95" customHeight="1">
      <c r="A2" s="79" t="s">
        <v>47</v>
      </c>
      <c r="B2" s="61"/>
      <c r="C2" s="61"/>
    </row>
    <row r="3" spans="1:3" ht="2.1" customHeight="1">
      <c r="A3" s="26"/>
      <c r="B3" s="26"/>
      <c r="C3" s="26"/>
    </row>
    <row r="4" spans="1:3">
      <c r="A4" s="80" t="s">
        <v>48</v>
      </c>
      <c r="B4" s="61"/>
      <c r="C4" s="61"/>
    </row>
    <row r="5" spans="1:3" ht="42" customHeight="1">
      <c r="A5" s="59" t="s">
        <v>49</v>
      </c>
      <c r="B5" s="61"/>
      <c r="C5" s="61"/>
    </row>
    <row r="7" spans="1:3">
      <c r="A7" s="38" t="s">
        <v>50</v>
      </c>
      <c r="B7" s="38" t="s">
        <v>51</v>
      </c>
      <c r="C7" s="38" t="s">
        <v>52</v>
      </c>
    </row>
    <row r="8" spans="1:3">
      <c r="A8" s="27" t="s">
        <v>53</v>
      </c>
      <c r="B8" s="28" t="s">
        <v>54</v>
      </c>
      <c r="C8" s="28" t="s">
        <v>55</v>
      </c>
    </row>
    <row r="9" spans="1:3">
      <c r="A9" s="29" t="s">
        <v>56</v>
      </c>
      <c r="B9" s="30" t="s">
        <v>57</v>
      </c>
      <c r="C9" s="30" t="s">
        <v>58</v>
      </c>
    </row>
    <row r="10" spans="1:3">
      <c r="A10" s="27" t="s">
        <v>59</v>
      </c>
      <c r="B10" s="28" t="s">
        <v>60</v>
      </c>
      <c r="C10" s="28" t="s">
        <v>61</v>
      </c>
    </row>
    <row r="11" spans="1:3">
      <c r="A11" s="29" t="s">
        <v>62</v>
      </c>
      <c r="B11" s="30" t="s">
        <v>63</v>
      </c>
      <c r="C11" s="30" t="s">
        <v>64</v>
      </c>
    </row>
    <row r="12" spans="1:3">
      <c r="A12" s="27" t="s">
        <v>65</v>
      </c>
      <c r="B12" s="28" t="s">
        <v>66</v>
      </c>
      <c r="C12" s="28" t="s">
        <v>67</v>
      </c>
    </row>
    <row r="13" spans="1:3">
      <c r="A13" s="29" t="s">
        <v>68</v>
      </c>
      <c r="B13" s="30" t="s">
        <v>69</v>
      </c>
      <c r="C13" s="30" t="s">
        <v>70</v>
      </c>
    </row>
    <row r="14" spans="1:3">
      <c r="A14" s="27" t="s">
        <v>71</v>
      </c>
      <c r="B14" s="28" t="s">
        <v>72</v>
      </c>
      <c r="C14" s="28" t="s">
        <v>73</v>
      </c>
    </row>
    <row r="15" spans="1:3">
      <c r="A15" s="29" t="s">
        <v>74</v>
      </c>
      <c r="B15" s="30" t="s">
        <v>75</v>
      </c>
      <c r="C15" s="30" t="s">
        <v>76</v>
      </c>
    </row>
    <row r="16" spans="1:3">
      <c r="A16" s="27" t="s">
        <v>77</v>
      </c>
      <c r="B16" s="28" t="s">
        <v>78</v>
      </c>
      <c r="C16" s="28" t="s">
        <v>79</v>
      </c>
    </row>
    <row r="17" spans="1:7">
      <c r="A17" s="29" t="s">
        <v>80</v>
      </c>
      <c r="B17" s="30" t="s">
        <v>81</v>
      </c>
      <c r="C17" s="30" t="s">
        <v>82</v>
      </c>
      <c r="D17" s="39"/>
      <c r="E17" s="39"/>
      <c r="F17" s="39"/>
      <c r="G17" s="39"/>
    </row>
    <row r="18" spans="1:7">
      <c r="A18" s="39"/>
      <c r="B18" s="39"/>
      <c r="C18" s="39"/>
      <c r="D18" s="39"/>
      <c r="E18" s="39"/>
      <c r="F18" s="39"/>
      <c r="G18" s="39"/>
    </row>
    <row r="19" spans="1:7">
      <c r="A19" s="39"/>
      <c r="B19" s="39"/>
      <c r="C19" s="39"/>
      <c r="D19" s="39"/>
      <c r="E19" s="39"/>
      <c r="F19" s="39"/>
      <c r="G19" s="39"/>
    </row>
    <row r="20" spans="1:7">
      <c r="A20" s="39"/>
      <c r="B20" s="39"/>
      <c r="C20" s="39"/>
      <c r="D20" s="39"/>
      <c r="E20" s="39"/>
      <c r="F20" s="39"/>
      <c r="G20" s="39"/>
    </row>
    <row r="21" spans="1:7">
      <c r="A21" s="39"/>
      <c r="B21" s="39"/>
      <c r="C21" s="39"/>
      <c r="D21" s="39"/>
      <c r="E21" s="39"/>
      <c r="F21" s="39"/>
      <c r="G21" s="39"/>
    </row>
    <row r="22" spans="1:7">
      <c r="A22" s="39"/>
      <c r="B22" s="39"/>
      <c r="C22" s="39"/>
      <c r="D22" s="39"/>
      <c r="E22" s="39"/>
      <c r="F22" s="39"/>
      <c r="G22" s="39"/>
    </row>
    <row r="23" spans="1:7">
      <c r="A23" s="39"/>
      <c r="B23" s="39"/>
      <c r="C23" s="39"/>
      <c r="D23" s="39"/>
      <c r="E23" s="39"/>
      <c r="F23" s="39"/>
      <c r="G23" s="39"/>
    </row>
    <row r="24" spans="1:7">
      <c r="A24" s="39"/>
      <c r="B24" s="39"/>
      <c r="C24" s="39"/>
      <c r="D24" s="39"/>
      <c r="E24" s="39"/>
      <c r="F24" s="39"/>
      <c r="G24" s="39"/>
    </row>
    <row r="25" spans="1:7">
      <c r="A25" s="39"/>
      <c r="B25" s="39"/>
      <c r="C25" s="39"/>
      <c r="D25" s="39"/>
      <c r="E25" s="39"/>
      <c r="F25" s="39"/>
      <c r="G25" s="39"/>
    </row>
    <row r="26" spans="1:7">
      <c r="A26" s="39"/>
      <c r="B26" s="39"/>
      <c r="C26" s="39"/>
      <c r="D26" s="39"/>
      <c r="E26" s="39"/>
      <c r="F26" s="39"/>
      <c r="G26" s="39"/>
    </row>
    <row r="27" spans="1:7">
      <c r="A27" s="39"/>
      <c r="B27" s="39"/>
      <c r="C27" s="39"/>
      <c r="D27" s="39"/>
      <c r="E27" s="39"/>
      <c r="F27" s="39"/>
      <c r="G27" s="39"/>
    </row>
    <row r="28" spans="1:7">
      <c r="A28" s="39"/>
      <c r="B28" s="39"/>
      <c r="C28" s="39"/>
      <c r="D28" s="39"/>
      <c r="E28" s="39"/>
      <c r="F28" s="39"/>
      <c r="G28" s="39"/>
    </row>
    <row r="29" spans="1:7">
      <c r="A29" s="39"/>
      <c r="B29" s="39"/>
      <c r="C29" s="39"/>
      <c r="D29" s="39"/>
      <c r="E29" s="39"/>
      <c r="F29" s="39"/>
      <c r="G29" s="39"/>
    </row>
    <row r="30" spans="1:7">
      <c r="A30" s="39"/>
      <c r="B30" s="39"/>
      <c r="C30" s="39"/>
      <c r="D30" s="39"/>
      <c r="E30" s="39"/>
      <c r="F30" s="39"/>
      <c r="G30" s="39"/>
    </row>
    <row r="31" spans="1:7">
      <c r="A31" s="39"/>
      <c r="B31" s="39"/>
      <c r="C31" s="39"/>
      <c r="D31" s="39"/>
      <c r="E31" s="39"/>
      <c r="F31" s="39"/>
      <c r="G31" s="39"/>
    </row>
    <row r="32" spans="1:7">
      <c r="A32" s="39"/>
      <c r="B32" s="39"/>
      <c r="C32" s="39"/>
      <c r="D32" s="39"/>
      <c r="E32" s="39"/>
      <c r="F32" s="39"/>
      <c r="G32" s="39"/>
    </row>
    <row r="33" spans="1:7">
      <c r="A33" s="39"/>
      <c r="B33" s="39"/>
      <c r="C33" s="39"/>
      <c r="D33" s="39"/>
      <c r="E33" s="39"/>
      <c r="F33" s="39"/>
      <c r="G33" s="39"/>
    </row>
    <row r="34" spans="1:7">
      <c r="A34" s="39"/>
      <c r="B34" s="39"/>
      <c r="C34" s="39"/>
      <c r="D34" s="39"/>
      <c r="E34" s="39"/>
      <c r="F34" s="39"/>
      <c r="G34" s="39"/>
    </row>
    <row r="35" spans="1:7">
      <c r="A35" s="39"/>
      <c r="B35" s="39"/>
      <c r="C35" s="39"/>
      <c r="D35" s="39"/>
      <c r="E35" s="39"/>
      <c r="F35" s="39"/>
      <c r="G35" s="39"/>
    </row>
    <row r="36" spans="1:7">
      <c r="A36" s="39"/>
      <c r="B36" s="39"/>
      <c r="C36" s="39"/>
      <c r="D36" s="39"/>
      <c r="E36" s="39"/>
      <c r="F36" s="39"/>
      <c r="G36" s="39"/>
    </row>
    <row r="37" spans="1:7">
      <c r="A37" s="39"/>
      <c r="B37" s="39"/>
      <c r="C37" s="39"/>
      <c r="D37" s="39"/>
      <c r="E37" s="39"/>
      <c r="F37" s="39"/>
      <c r="G37" s="39"/>
    </row>
    <row r="38" spans="1:7">
      <c r="A38" s="39"/>
      <c r="B38" s="39"/>
      <c r="C38" s="39"/>
      <c r="D38" s="39"/>
      <c r="E38" s="39"/>
      <c r="F38" s="39"/>
      <c r="G38" s="39"/>
    </row>
    <row r="39" spans="1:7">
      <c r="A39" s="39"/>
      <c r="B39" s="39"/>
      <c r="C39" s="39"/>
      <c r="D39" s="39"/>
      <c r="E39" s="39"/>
      <c r="F39" s="39"/>
      <c r="G39" s="39"/>
    </row>
    <row r="40" spans="1:7">
      <c r="A40" s="39"/>
      <c r="B40" s="39"/>
      <c r="C40" s="39"/>
      <c r="D40" s="39"/>
      <c r="E40" s="39"/>
      <c r="F40" s="39"/>
      <c r="G40" s="39"/>
    </row>
    <row r="41" spans="1:7">
      <c r="A41" s="39"/>
      <c r="B41" s="39"/>
      <c r="C41" s="39"/>
      <c r="D41" s="39"/>
      <c r="E41" s="39"/>
      <c r="F41" s="39"/>
      <c r="G41" s="39"/>
    </row>
    <row r="42" spans="1:7">
      <c r="A42" s="39"/>
      <c r="B42" s="39"/>
      <c r="C42" s="39"/>
      <c r="D42" s="39"/>
      <c r="E42" s="39"/>
      <c r="F42" s="39"/>
      <c r="G42" s="39"/>
    </row>
    <row r="43" spans="1:7">
      <c r="A43" s="39"/>
      <c r="B43" s="39"/>
      <c r="C43" s="39"/>
      <c r="D43" s="39"/>
      <c r="E43" s="39"/>
      <c r="F43" s="39"/>
      <c r="G43" s="39"/>
    </row>
    <row r="44" spans="1:7">
      <c r="A44" s="39"/>
      <c r="B44" s="39"/>
      <c r="C44" s="39"/>
      <c r="D44" s="39"/>
      <c r="E44" s="39"/>
      <c r="F44" s="39"/>
      <c r="G44" s="39"/>
    </row>
    <row r="45" spans="1:7">
      <c r="A45" s="39"/>
      <c r="B45" s="39"/>
      <c r="C45" s="39"/>
      <c r="D45" s="39"/>
      <c r="E45" s="39"/>
      <c r="F45" s="39"/>
      <c r="G45" s="39"/>
    </row>
    <row r="46" spans="1:7">
      <c r="A46" s="39"/>
      <c r="B46" s="39"/>
      <c r="C46" s="39"/>
      <c r="D46" s="39"/>
      <c r="E46" s="39"/>
      <c r="F46" s="39"/>
      <c r="G46" s="39"/>
    </row>
    <row r="47" spans="1:7">
      <c r="A47" s="39"/>
      <c r="B47" s="39"/>
      <c r="C47" s="39"/>
      <c r="D47" s="39"/>
      <c r="E47" s="39"/>
      <c r="F47" s="39"/>
      <c r="G47" s="39"/>
    </row>
    <row r="48" spans="1:7">
      <c r="A48" s="39"/>
      <c r="B48" s="39"/>
      <c r="C48" s="39"/>
      <c r="D48" s="39"/>
      <c r="E48" s="39"/>
      <c r="F48" s="39"/>
      <c r="G48" s="39"/>
    </row>
    <row r="49" spans="1:7">
      <c r="A49" s="39"/>
      <c r="B49" s="39"/>
      <c r="C49" s="39"/>
      <c r="D49" s="39"/>
      <c r="E49" s="39"/>
      <c r="F49" s="39"/>
      <c r="G49" s="39"/>
    </row>
    <row r="50" spans="1:7">
      <c r="A50" s="39"/>
      <c r="B50" s="39"/>
      <c r="C50" s="39"/>
      <c r="D50" s="39"/>
      <c r="E50" s="39"/>
      <c r="F50" s="39"/>
      <c r="G50" s="39"/>
    </row>
    <row r="51" spans="1:7">
      <c r="A51" s="39"/>
      <c r="B51" s="39"/>
      <c r="C51" s="39"/>
      <c r="D51" s="39"/>
      <c r="E51" s="39"/>
      <c r="F51" s="39"/>
      <c r="G51" s="39"/>
    </row>
    <row r="52" spans="1:7">
      <c r="A52" s="39"/>
      <c r="B52" s="39"/>
      <c r="C52" s="39"/>
      <c r="D52" s="39"/>
      <c r="E52" s="39"/>
      <c r="F52" s="39"/>
      <c r="G52" s="39"/>
    </row>
    <row r="53" spans="1:7">
      <c r="A53" s="39"/>
      <c r="B53" s="39"/>
      <c r="C53" s="39"/>
      <c r="D53" s="39"/>
      <c r="E53" s="39"/>
      <c r="F53" s="39"/>
      <c r="G53" s="39"/>
    </row>
    <row r="54" spans="1:7">
      <c r="A54" s="39"/>
      <c r="B54" s="39"/>
      <c r="C54" s="39"/>
      <c r="D54" s="39"/>
      <c r="E54" s="39"/>
      <c r="F54" s="39"/>
      <c r="G54" s="39"/>
    </row>
    <row r="55" spans="1:7">
      <c r="A55" s="39"/>
      <c r="B55" s="39"/>
      <c r="C55" s="39"/>
      <c r="D55" s="39"/>
      <c r="E55" s="39"/>
      <c r="F55" s="39"/>
      <c r="G55" s="39"/>
    </row>
    <row r="56" spans="1:7">
      <c r="A56" s="39"/>
      <c r="B56" s="39"/>
      <c r="C56" s="39"/>
      <c r="D56" s="39"/>
      <c r="E56" s="39"/>
      <c r="F56" s="39"/>
      <c r="G56" s="39"/>
    </row>
    <row r="57" spans="1:7">
      <c r="A57" s="39"/>
      <c r="B57" s="39"/>
      <c r="C57" s="39"/>
      <c r="D57" s="39"/>
      <c r="E57" s="39"/>
      <c r="F57" s="39"/>
      <c r="G57" s="39"/>
    </row>
    <row r="58" spans="1:7">
      <c r="A58" s="39"/>
      <c r="B58" s="39"/>
      <c r="C58" s="39"/>
      <c r="D58" s="39"/>
      <c r="E58" s="39"/>
      <c r="F58" s="39"/>
      <c r="G58" s="39"/>
    </row>
    <row r="59" spans="1:7">
      <c r="A59" s="39"/>
      <c r="B59" s="39"/>
      <c r="C59" s="39"/>
      <c r="D59" s="39"/>
      <c r="E59" s="39"/>
      <c r="F59" s="39"/>
      <c r="G59" s="39"/>
    </row>
  </sheetData>
  <sheetProtection sheet="1" formatCells="0" insertRows="0" deleteRows="0" selectLockedCells="1" selectUnlockedCells="1"/>
  <autoFilter ref="A7:C17" xr:uid="{00000000-0009-0000-0000-000001000000}"/>
  <mergeCells count="3">
    <mergeCell ref="A5:C5"/>
    <mergeCell ref="A4:C4"/>
    <mergeCell ref="A2:C2"/>
  </mergeCells>
  <pageMargins left="0.75" right="0.75" top="1" bottom="1" header="0.5" footer="0.5"/>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Maria Naseer</cp:lastModifiedBy>
  <cp:revision>0</cp:revision>
  <dcterms:created xsi:type="dcterms:W3CDTF">2026-07-16T17:44:46Z</dcterms:created>
  <dcterms:modified xsi:type="dcterms:W3CDTF">2026-10-05T17:25:16Z</dcterms:modified>
  <cp:category/>
  <cp:contentStatus/>
</cp:coreProperties>
</file>