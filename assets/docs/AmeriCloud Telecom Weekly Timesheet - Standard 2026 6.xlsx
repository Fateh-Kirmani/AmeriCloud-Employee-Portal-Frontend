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9A7E0AE98E4C5D11B0627A02E07265D4ABA1EBC3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imesheet" sheetId="1" r:id="rId1"/>
    <sheet name="Code List" sheetId="2" r:id="rId2"/>
  </sheets>
  <definedNames>
    <definedName name="_xlnm._FilterDatabase" localSheetId="1" hidden="1">'Code List'!$A$7:$C$17</definedName>
    <definedName name="CODELIST">OFFSET('Code List'!$A$8,0,0,COUNTA('Code List'!$A$8:$A$60),1)</definedName>
    <definedName name="_xlnm.Print_Area" localSheetId="0">Timesheet!$A$1:$M$37</definedName>
    <definedName name="_xlnm.Print_Area" localSheetId="1">'Code List'!$A$1:$C$17</definedName>
    <definedName name="_xlnm.Print_Titles" localSheetId="1">'Code List'!$7:$7</definedName>
  </definedNames>
  <calcPr calcId="0" fullCalcOnLoad="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F21" i="1"/>
  <c r="F20" i="1"/>
  <c r="L17" i="1"/>
  <c r="L16" i="1"/>
  <c r="B16" i="1"/>
  <c r="A16" i="1"/>
  <c r="L15" i="1"/>
  <c r="B15" i="1"/>
  <c r="A15" i="1"/>
  <c r="L14" i="1"/>
  <c r="B14" i="1"/>
  <c r="A14" i="1"/>
  <c r="L13" i="1"/>
  <c r="B13" i="1"/>
  <c r="A13" i="1"/>
  <c r="L12" i="1"/>
  <c r="B12" i="1"/>
  <c r="A12" i="1"/>
  <c r="L11" i="1"/>
  <c r="B11" i="1"/>
  <c r="A11" i="1"/>
  <c r="L10" i="1"/>
  <c r="B10" i="1"/>
  <c r="A10" i="1"/>
  <c r="H6" i="1"/>
</calcChain>
</file>

<file path=xl/sharedStrings.xml><?xml version="1.0" encoding="utf-8"?>
<sst xmlns="http://schemas.openxmlformats.org/spreadsheetml/2006/main" count="74" uniqueCount="71">
  <si>
    <t>AmeriCloud Telecom Weekly Timesheet - Standard</t>
  </si>
  <si>
    <t>AmeriCloud Telecom Solutions, LLC     |     Non-Exempt Week</t>
  </si>
  <si>
    <t>Submit to: Timesheet@americloudtelecom.com</t>
  </si>
  <si>
    <t>Employee Name:</t>
  </si>
  <si>
    <t>Employee ID:</t>
  </si>
  <si>
    <t>Department:</t>
  </si>
  <si>
    <t>Week Start (Sun):</t>
  </si>
  <si>
    <t>Week End (Sat):</t>
  </si>
  <si>
    <t>Manager:</t>
  </si>
  <si>
    <t>Project Code: the code from your manager (3 letters + 9 digits) or an LBR code from the Code List tab. Times: 24-hour (0900, 1730). Meal time is unpaid; rest breaks up to 10 minutes are paid.</t>
  </si>
  <si>
    <t>Date</t>
  </si>
  <si>
    <t>Day</t>
  </si>
  <si>
    <t>Project Code</t>
  </si>
  <si>
    <t>Shift Start</t>
  </si>
  <si>
    <t>Rest 1 Start</t>
  </si>
  <si>
    <t>Rest 1 End</t>
  </si>
  <si>
    <t>Meal Start</t>
  </si>
  <si>
    <t>Meal End</t>
  </si>
  <si>
    <t>Rest 2 Start</t>
  </si>
  <si>
    <t>Rest 2 End</t>
  </si>
  <si>
    <t>Shift End</t>
  </si>
  <si>
    <t>Hours Worked</t>
  </si>
  <si>
    <t>WEEKLY TOTAL</t>
  </si>
  <si>
    <t xml:space="preserve">  WEEKLY SUMMARY  (auto-calculated)</t>
  </si>
  <si>
    <t>Total Hours Worked</t>
  </si>
  <si>
    <t>Regular Hours (max 40/wk)</t>
  </si>
  <si>
    <t>Overtime 1.5x Hours (&gt;40/wk)</t>
  </si>
  <si>
    <t>PTO / Sick / Holiday Hours (enter)</t>
  </si>
  <si>
    <t>EMPLOYEE ATTESTATION</t>
  </si>
  <si>
    <t>I certify that this timesheet accurately reflects all hours I worked during the week shown, including overtime, and that meal periods recorded were taken as shown.</t>
  </si>
  <si>
    <t>Employee Signature:</t>
  </si>
  <si>
    <t>Date:</t>
  </si>
  <si>
    <t>Supervisor Signature:</t>
  </si>
  <si>
    <t>VOLUNTARY MEAL / REST BREAK WAIVER  (complete ONLY if a break was voluntarily skipped)</t>
  </si>
  <si>
    <t>I confirm that I was provided the opportunity to take all required meal and/or rest breaks but voluntarily chose not to take one or more of them on the dates indicated above. I understand this form is not to be used if a break was not provided by the company.</t>
  </si>
  <si>
    <t>Non-Billable Time Codes</t>
  </si>
  <si>
    <t>AmeriCloud Telecom Solutions, LLC   |   Confidential</t>
  </si>
  <si>
    <t>These codes are for time you do not bill to a customer. On such a day, type the code into the Project Code column on the Timesheet tab. On a normal day, type the project code your manager gave you. Do not type a service code. Expenses go on RAMP, not here.</t>
  </si>
  <si>
    <t>Code</t>
  </si>
  <si>
    <t>What it is</t>
  </si>
  <si>
    <t>When to use it</t>
  </si>
  <si>
    <t>LBR1010</t>
  </si>
  <si>
    <t>Idle / Bench Time</t>
  </si>
  <si>
    <t>Available, unassigned, no active project</t>
  </si>
  <si>
    <t>LBR1020</t>
  </si>
  <si>
    <t>Paid Time Off (PTO)</t>
  </si>
  <si>
    <t>Vacation and personal PTO</t>
  </si>
  <si>
    <t>LBR1030</t>
  </si>
  <si>
    <t>Holiday</t>
  </si>
  <si>
    <t>Company-observed holiday</t>
  </si>
  <si>
    <t>LBR1040</t>
  </si>
  <si>
    <t>Sick / Safe Time</t>
  </si>
  <si>
    <t>Sick or protected safe time</t>
  </si>
  <si>
    <t>LBR1050</t>
  </si>
  <si>
    <t>Bereavement / Jury Duty</t>
  </si>
  <si>
    <t>Bereavement, jury, witness leave</t>
  </si>
  <si>
    <t>LBR1060</t>
  </si>
  <si>
    <t>Training and Certification</t>
  </si>
  <si>
    <t>Time in training or certification</t>
  </si>
  <si>
    <t>LBR1070</t>
  </si>
  <si>
    <t>Non-Billable Travel Time</t>
  </si>
  <si>
    <t>Travel hours not chargeable to a customer. Travel we DO bill is SVC2000.</t>
  </si>
  <si>
    <t>LBR1080</t>
  </si>
  <si>
    <t>Administrative / Internal</t>
  </si>
  <si>
    <t>Internal meetings, admin, timesheets</t>
  </si>
  <si>
    <t>LBR1090</t>
  </si>
  <si>
    <t>Safety / Stand-Down</t>
  </si>
  <si>
    <t>Safety stand-downs, toolbox talks</t>
  </si>
  <si>
    <t>BDV1070</t>
  </si>
  <si>
    <t>RFP</t>
  </si>
  <si>
    <t>Writing or pricing an RFP or proposal, bid site visits and walks. Overhead, not billed.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</si>
</sst>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[&lt;1]hh:mm;[&lt;100]00&quot;:00&quot;;00\:00"/>
  </numFmts>
  <fonts count="18">
    <font>
      <sz val="11"/>
      <color theme="1"/>
      <name val="Calibri"/>
      <family val="2"/>
      <charset val="1"/>
    </font>
    <font>
      <b/>
      <sz val="16"/>
      <color rgb="FF1F3864"/>
      <name val="Calibri Light"/>
      <charset val="1"/>
    </font>
    <font>
      <sz val="11"/>
      <name val="Cambria"/>
      <charset val="1"/>
    </font>
    <font>
      <sz val="10"/>
      <color rgb="FF595959"/>
      <name val="Calibri"/>
      <charset val="1"/>
    </font>
    <font>
      <b/>
      <sz val="9"/>
      <color rgb="FF1F3864"/>
      <name val="Calibri"/>
      <charset val="1"/>
    </font>
    <font>
      <sz val="9"/>
      <color rgb="FF000000"/>
      <name val="Calibri"/>
      <charset val="1"/>
    </font>
    <font>
      <sz val="8"/>
      <color rgb="FF595959"/>
      <name val="Calibri"/>
      <charset val="1"/>
    </font>
    <font>
      <b/>
      <sz val="8"/>
      <color rgb="FFFFFFFF"/>
      <name val="Calibri"/>
      <charset val="1"/>
    </font>
    <font>
      <b/>
      <sz val="9"/>
      <color rgb="FF000000"/>
      <name val="Calibri"/>
      <charset val="1"/>
    </font>
    <font>
      <b/>
      <sz val="10"/>
      <color rgb="FFFFFFFF"/>
      <name val="Calibri"/>
      <charset val="1"/>
    </font>
    <font>
      <sz val="8"/>
      <color rgb="FF000000"/>
      <name val="Calibri"/>
      <charset val="1"/>
    </font>
    <font>
      <b/>
      <sz val="16"/>
      <color rgb="FF1F3864"/>
      <name val="Calibri Light"/>
    </font>
    <font>
      <b/>
      <sz val="10"/>
      <color rgb="FFFFFFFF"/>
      <name val="Calibri"/>
    </font>
    <font>
      <i/>
      <sz val="10"/>
      <color rgb="FF595959"/>
      <name val="Calibri"/>
    </font>
    <font>
      <b/>
      <sz val="9"/>
      <color rgb="FFD51926"/>
      <name val="Calibri"/>
    </font>
    <font>
      <b/>
      <sz val="10"/>
      <color rgb="FF1F3864"/>
      <name val="Calibri"/>
    </font>
    <font>
      <sz val="10"/>
      <color rgb="FF000000"/>
      <name val="Calibri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52848"/>
        <bgColor rgb="FF0F2A5E"/>
      </patternFill>
    </fill>
    <fill>
      <patternFill patternType="solid">
        <fgColor rgb="FFD6DCE4"/>
        <bgColor rgb="FFF4F6FA"/>
      </patternFill>
    </fill>
    <fill>
      <patternFill patternType="solid">
        <fgColor rgb="FF1F3864"/>
        <bgColor rgb="FF0F2A5E"/>
      </patternFill>
    </fill>
    <fill>
      <patternFill patternType="solid">
        <fgColor rgb="FFF4F6FA"/>
        <bgColor rgb="FFFFFFFF"/>
      </patternFill>
    </fill>
    <fill>
      <patternFill patternType="solid">
        <fgColor rgb="FFFFFFFF"/>
        <bgColor rgb="FFF4F6FA"/>
      </patternFill>
    </fill>
    <fill>
      <patternFill patternType="solid">
        <fgColor rgb="FFD51926"/>
      </patternFill>
    </fill>
    <fill>
      <patternFill patternType="solid">
        <fgColor rgb="FFFBE5D6"/>
      </patternFill>
    </fill>
    <fill>
      <patternFill patternType="solid">
        <fgColor rgb="FF152848"/>
      </patternFill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 style="thin">
        <color rgb="FF8EA9CE"/>
      </left>
      <right style="thin">
        <color rgb="FF8EA9CE"/>
      </right>
      <top style="thin">
        <color rgb="FF8EA9CE"/>
      </top>
      <bottom style="thin">
        <color rgb="FF8EA9CE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EA9CE"/>
      </top>
      <bottom style="thin">
        <color rgb="FF8EA9CE"/>
      </bottom>
      <diagonal/>
    </border>
    <border>
      <left style="medium">
        <color rgb="FF1F38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1F3864"/>
      </left>
      <right style="thin">
        <color rgb="FF8EA9CE"/>
      </right>
      <top style="thin">
        <color rgb="FF8EA9CE"/>
      </top>
      <bottom style="thin">
        <color rgb="FF8EA9CE"/>
      </bottom>
      <diagonal/>
    </border>
    <border>
      <left/>
      <right/>
      <top style="medium">
        <color rgb="FF1F3864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rgb="FF1F3864"/>
      </right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EA9CE"/>
      </right>
      <top style="thin">
        <color rgb="FF8EA9CE"/>
      </top>
      <bottom style="thin">
        <color rgb="FF8EA9CE"/>
      </bottom>
      <diagonal/>
    </border>
    <border>
      <left/>
      <right/>
      <top/>
      <bottom/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/>
      <bottom style="medium">
        <color rgb="FF1F38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 vertical="center"/>
    </xf>
    <xf numFmtId="164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hidden="1"/>
    </xf>
    <xf numFmtId="0" fontId="2" fillId="0" borderId="0" xfId="0" applyFont="1" applyProtection="1">
      <protection locked="0"/>
    </xf>
    <xf numFmtId="2" fontId="5" fillId="0" borderId="0" xfId="0" applyNumberFormat="1" applyFont="1" applyAlignment="1" applyProtection="1">
      <alignment horizontal="right" vertical="center"/>
      <protection locked="0"/>
    </xf>
    <xf numFmtId="0" fontId="7" fillId="2" borderId="4" xfId="0" applyFont="1" applyFill="1" applyBorder="1" applyAlignment="1">
      <alignment horizontal="center" vertical="center" wrapText="1"/>
    </xf>
    <xf numFmtId="164" fontId="5" fillId="0" borderId="4" xfId="0" applyNumberFormat="1" applyFont="1" applyBorder="1" applyProtection="1">
      <protection hidden="1"/>
    </xf>
    <xf numFmtId="0" fontId="0" fillId="0" borderId="7" xfId="0" applyBorder="1"/>
    <xf numFmtId="0" fontId="2" fillId="0" borderId="10" xfId="0" applyFont="1" applyBorder="1"/>
    <xf numFmtId="0" fontId="7" fillId="2" borderId="19" xfId="0" applyFont="1" applyFill="1" applyBorder="1" applyAlignment="1">
      <alignment horizontal="center" vertical="center" wrapText="1"/>
    </xf>
    <xf numFmtId="0" fontId="5" fillId="0" borderId="19" xfId="0" applyFont="1" applyBorder="1" applyProtection="1">
      <protection locked="0"/>
    </xf>
    <xf numFmtId="0" fontId="8" fillId="3" borderId="19" xfId="0" applyFont="1" applyFill="1" applyBorder="1"/>
    <xf numFmtId="0" fontId="2" fillId="0" borderId="18" xfId="0" applyFont="1" applyBorder="1"/>
    <xf numFmtId="0" fontId="0" fillId="0" borderId="11" xfId="0" applyBorder="1"/>
    <xf numFmtId="0" fontId="0" fillId="7" borderId="0" xfId="0" applyFill="1"/>
    <xf numFmtId="0" fontId="15" fillId="0" borderId="20" xfId="0" applyFont="1" applyBorder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15" fillId="10" borderId="20" xfId="0" applyFont="1" applyFill="1" applyBorder="1" applyAlignment="1">
      <alignment vertical="top" wrapText="1"/>
    </xf>
    <xf numFmtId="0" fontId="16" fillId="10" borderId="20" xfId="0" applyFont="1" applyFill="1" applyBorder="1" applyAlignment="1">
      <alignment vertical="top" wrapText="1"/>
    </xf>
    <xf numFmtId="2" fontId="5" fillId="5" borderId="1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2" fontId="5" fillId="6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vertical="center"/>
    </xf>
    <xf numFmtId="2" fontId="5" fillId="6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right" vertical="center" indent="2"/>
    </xf>
    <xf numFmtId="0" fontId="14" fillId="8" borderId="0" xfId="0" applyFont="1" applyFill="1" applyAlignment="1">
      <alignment vertical="center" wrapText="1"/>
    </xf>
    <xf numFmtId="0" fontId="0" fillId="0" borderId="6" xfId="0" applyBorder="1" applyAlignment="1"/>
    <xf numFmtId="0" fontId="2" fillId="0" borderId="16" xfId="0" applyFont="1" applyBorder="1"/>
    <xf numFmtId="0" fontId="0" fillId="0" borderId="9" xfId="0" applyBorder="1"/>
    <xf numFmtId="0" fontId="3" fillId="0" borderId="16" xfId="0" applyFont="1" applyBorder="1" applyAlignment="1">
      <alignment horizontal="left" vertical="center"/>
    </xf>
    <xf numFmtId="0" fontId="0" fillId="0" borderId="0" xfId="0" applyAlignment="1"/>
    <xf numFmtId="0" fontId="4" fillId="0" borderId="16" xfId="0" applyFont="1" applyBorder="1" applyAlignment="1">
      <alignment horizontal="right" vertical="center"/>
    </xf>
    <xf numFmtId="0" fontId="0" fillId="0" borderId="12" xfId="0" applyBorder="1" applyAlignment="1" applyProtection="1">
      <protection locked="0"/>
    </xf>
    <xf numFmtId="164" fontId="5" fillId="0" borderId="12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164" fontId="5" fillId="0" borderId="12" xfId="0" applyNumberFormat="1" applyFont="1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protection hidden="1"/>
    </xf>
    <xf numFmtId="0" fontId="6" fillId="0" borderId="16" xfId="0" applyFont="1" applyBorder="1" applyAlignment="1">
      <alignment horizontal="left" vertical="top" wrapText="1"/>
    </xf>
    <xf numFmtId="0" fontId="5" fillId="0" borderId="19" xfId="0" applyFont="1" applyBorder="1" applyProtection="1">
      <protection hidden="1"/>
    </xf>
    <xf numFmtId="165" fontId="5" fillId="0" borderId="19" xfId="0" applyNumberFormat="1" applyFont="1" applyBorder="1" applyProtection="1">
      <protection locked="0"/>
    </xf>
    <xf numFmtId="0" fontId="0" fillId="0" borderId="2" xfId="0" applyBorder="1" applyAlignment="1"/>
    <xf numFmtId="0" fontId="0" fillId="0" borderId="13" xfId="0" applyBorder="1" applyAlignment="1"/>
    <xf numFmtId="0" fontId="8" fillId="3" borderId="19" xfId="0" applyFont="1" applyFill="1" applyBorder="1" applyProtection="1">
      <protection hidden="1"/>
    </xf>
    <xf numFmtId="0" fontId="0" fillId="0" borderId="16" xfId="0" applyBorder="1"/>
    <xf numFmtId="0" fontId="0" fillId="0" borderId="3" xfId="0" applyBorder="1" applyAlignment="1"/>
    <xf numFmtId="0" fontId="0" fillId="0" borderId="14" xfId="0" applyBorder="1" applyAlignment="1"/>
    <xf numFmtId="0" fontId="0" fillId="0" borderId="3" xfId="0" applyBorder="1" applyAlignment="1" applyProtection="1">
      <protection hidden="1"/>
    </xf>
    <xf numFmtId="0" fontId="0" fillId="0" borderId="14" xfId="0" applyBorder="1" applyAlignment="1" applyProtection="1">
      <protection hidden="1"/>
    </xf>
    <xf numFmtId="0" fontId="0" fillId="0" borderId="3" xfId="0" applyBorder="1" applyAlignment="1" applyProtection="1">
      <protection locked="0"/>
    </xf>
    <xf numFmtId="0" fontId="0" fillId="0" borderId="14" xfId="0" applyBorder="1" applyAlignment="1" applyProtection="1">
      <protection locked="0"/>
    </xf>
    <xf numFmtId="0" fontId="5" fillId="0" borderId="16" xfId="0" applyFont="1" applyBorder="1" applyAlignment="1">
      <alignment vertical="center"/>
    </xf>
    <xf numFmtId="0" fontId="9" fillId="4" borderId="16" xfId="0" applyFont="1" applyFill="1" applyBorder="1" applyAlignment="1">
      <alignment vertical="center"/>
    </xf>
    <xf numFmtId="0" fontId="10" fillId="0" borderId="16" xfId="0" applyFont="1" applyBorder="1" applyAlignment="1">
      <alignment horizontal="left" vertical="top" wrapText="1"/>
    </xf>
    <xf numFmtId="0" fontId="2" fillId="0" borderId="8" xfId="0" applyFont="1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0" fillId="0" borderId="16" xfId="0" applyBorder="1" applyAlignment="1"/>
    <xf numFmtId="0" fontId="4" fillId="0" borderId="15" xfId="0" applyFont="1" applyBorder="1" applyAlignment="1">
      <alignment horizontal="right" vertical="center"/>
    </xf>
    <xf numFmtId="0" fontId="2" fillId="0" borderId="18" xfId="0" applyFont="1" applyBorder="1" applyProtection="1">
      <protection locked="0"/>
    </xf>
    <xf numFmtId="0" fontId="0" fillId="0" borderId="15" xfId="0" applyBorder="1"/>
    <xf numFmtId="0" fontId="2" fillId="0" borderId="15" xfId="0" applyFont="1" applyBorder="1"/>
    <xf numFmtId="0" fontId="11" fillId="0" borderId="0" xfId="0" applyFont="1" applyAlignment="1"/>
    <xf numFmtId="0" fontId="13" fillId="0" borderId="0" xfId="0" applyFont="1" applyAlignment="1"/>
    <xf numFmtId="0" fontId="12" fillId="9" borderId="20" xfId="0" applyFont="1" applyFill="1" applyBorder="1" applyAlignment="1">
      <alignment horizontal="center" vertical="center" wrapText="1"/>
    </xf>
    <xf numFmtId="0" fontId="17" fillId="0" borderId="15" xfId="0" applyFont="1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CE"/>
      <rgbColor rgb="FF993366"/>
      <rgbColor rgb="FFF4F6FA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2A5E"/>
      <rgbColor rgb="FF339966"/>
      <rgbColor rgb="FF003300"/>
      <rgbColor rgb="FF333300"/>
      <rgbColor rgb="FF993300"/>
      <rgbColor rgb="FF993366"/>
      <rgbColor rgb="FF1F3864"/>
      <rgbColor rgb="FF1528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1600200" cy="523317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"/>
  <sheetViews>
    <sheetView showGridLines="0" tabSelected="1" zoomScaleNormal="100" workbookViewId="0"/>
  </sheetViews>
  <sheetFormatPr defaultColWidth="13" defaultRowHeight="15"/>
  <cols>
    <col min="1" max="1" width="11" customWidth="1"/>
    <col min="2" max="2" width="6" customWidth="1"/>
    <col min="3" max="3" width="30" customWidth="1"/>
    <col min="4" max="12" width="11" customWidth="1"/>
    <col min="13" max="16383" width="2.42578125" customWidth="1"/>
  </cols>
  <sheetData>
    <row r="1" spans="1:13" ht="15" customHeight="1">
      <c r="A1" s="27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9"/>
    </row>
    <row r="2" spans="1:13" ht="2.25" customHeight="1">
      <c r="A2" s="3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7"/>
    </row>
    <row r="3" spans="1:13" ht="15" customHeight="1">
      <c r="A3" s="38" t="s">
        <v>1</v>
      </c>
      <c r="B3" s="39"/>
      <c r="C3" s="39"/>
      <c r="D3" s="39"/>
      <c r="E3" s="39"/>
      <c r="F3" s="39"/>
      <c r="G3" s="33" t="s">
        <v>2</v>
      </c>
      <c r="H3" s="33"/>
      <c r="I3" s="33"/>
      <c r="J3" s="33"/>
      <c r="M3" s="37"/>
    </row>
    <row r="4" spans="1:13">
      <c r="A4" s="36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7"/>
    </row>
    <row r="5" spans="1:13" ht="15" customHeight="1">
      <c r="A5" s="40" t="s">
        <v>3</v>
      </c>
      <c r="B5" s="39"/>
      <c r="C5" s="32"/>
      <c r="D5" s="41"/>
      <c r="E5" s="1"/>
      <c r="F5" s="24" t="s">
        <v>4</v>
      </c>
      <c r="G5" s="39"/>
      <c r="H5" s="32"/>
      <c r="I5" s="41"/>
      <c r="J5" s="2" t="s">
        <v>5</v>
      </c>
      <c r="K5" s="31"/>
      <c r="L5" s="41"/>
      <c r="M5" s="37"/>
    </row>
    <row r="6" spans="1:13" ht="15" customHeight="1">
      <c r="A6" s="40" t="s">
        <v>6</v>
      </c>
      <c r="B6" s="39"/>
      <c r="C6" s="42"/>
      <c r="D6" s="41"/>
      <c r="E6" s="1"/>
      <c r="F6" s="22" t="s">
        <v>7</v>
      </c>
      <c r="G6" s="43"/>
      <c r="H6" s="44" t="str">
        <f>IF(C6="","",C6+6)</f>
        <v/>
      </c>
      <c r="I6" s="45"/>
      <c r="J6" s="2" t="s">
        <v>8</v>
      </c>
      <c r="K6" s="32"/>
      <c r="L6" s="41"/>
      <c r="M6" s="37"/>
    </row>
    <row r="7" spans="1:13" ht="6" customHeight="1">
      <c r="A7" s="36"/>
      <c r="B7" s="1"/>
      <c r="C7" s="3"/>
      <c r="D7" s="1"/>
      <c r="E7" s="1"/>
      <c r="F7" s="3"/>
      <c r="G7" s="4"/>
      <c r="H7" s="4"/>
      <c r="I7" s="1"/>
      <c r="J7" s="1"/>
      <c r="K7" s="1"/>
      <c r="L7" s="5"/>
      <c r="M7" s="37"/>
    </row>
    <row r="8" spans="1:13" ht="15" customHeight="1">
      <c r="A8" s="46" t="s">
        <v>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7"/>
    </row>
    <row r="9" spans="1:13">
      <c r="A9" s="7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11" t="s">
        <v>20</v>
      </c>
      <c r="L9" s="11" t="s">
        <v>21</v>
      </c>
      <c r="M9" s="37"/>
    </row>
    <row r="10" spans="1:13" ht="15" customHeight="1">
      <c r="A10" s="8" t="str">
        <f>IF($C$6="","",$C$6+0)</f>
        <v/>
      </c>
      <c r="B10" s="47" t="str">
        <f>IF(A10="","",TEXT(A10,"ddd"))</f>
        <v/>
      </c>
      <c r="C10" s="12"/>
      <c r="D10" s="48"/>
      <c r="E10" s="48"/>
      <c r="F10" s="48"/>
      <c r="G10" s="48"/>
      <c r="H10" s="48"/>
      <c r="I10" s="48"/>
      <c r="J10" s="48"/>
      <c r="K10" s="48"/>
      <c r="L10" s="47" t="str">
        <f>IF(OR(D10="",K10=""),"",IF(OR(AND(G10&lt;&gt;"",H10&lt;&gt;"",MOD(IF(ISNUMBER(H10),IF(H10&lt;1,H10,IF(H10&lt;100,TIME(H10,0,0),TIME(INT(H10/100),MOD(H10,100),0))),0)-IF(ISNUMBER(D10),IF(D10&lt;1,D10,IF(D10&lt;100,TIME(D10,0,0),TIME(INT(D10/100),MOD(D10,100),0))),0),1)&lt;=MOD(IF(ISNUMBER(G10),IF(G10&lt;1,G10,IF(G10&lt;100,TIME(G10,0,0),TIME(INT(G10/100),MOD(G10,100),0))),0)-IF(ISNUMBER(D10),IF(D10&lt;1,D10,IF(D10&lt;100,TIME(D10,0,0),TIME(INT(D10/100),MOD(D10,100),0))),0),1)),AND(E10&lt;&gt;"",F10&lt;&gt;"",MOD(IF(ISNUMBER(F10),IF(F10&lt;1,F10,IF(F10&lt;100,TIME(F10,0,0),TIME(INT(F10/100),MOD(F10,100),0))),0)-IF(ISNUMBER(D10),IF(D10&lt;1,D10,IF(D10&lt;100,TIME(D10,0,0),TIME(INT(D10/100),MOD(D10,100),0))),0),1)&lt;=MOD(IF(ISNUMBER(E10),IF(E10&lt;1,E10,IF(E10&lt;100,TIME(E10,0,0),TIME(INT(E10/100),MOD(E10,100),0))),0)-IF(ISNUMBER(D10),IF(D10&lt;1,D10,IF(D10&lt;100,TIME(D10,0,0),TIME(INT(D10/100),MOD(D10,100),0))),0),1)),AND(I10&lt;&gt;"",J10&lt;&gt;"",MOD(IF(ISNUMBER(J10),IF(J10&lt;1,J10,IF(J10&lt;100,TIME(J10,0,0),TIME(INT(J10/100),MOD(J10,100),0))),0)-IF(ISNUMBER(D10),IF(D10&lt;1,D10,IF(D10&lt;100,TIME(D10,0,0),TIME(INT(D10/100),MOD(D10,100),0))),0),1)&lt;=MOD(IF(ISNUMBER(I10),IF(I10&lt;1,I10,IF(I10&lt;100,TIME(I10,0,0),TIME(INT(I10/100),MOD(I10,100),0))),0)-IF(ISNUMBER(D10),IF(D10&lt;1,D10,IF(D10&lt;100,TIME(D10,0,0),TIME(INT(D10/100),MOD(D10,100),0))),0),1)),AND(H10&lt;&gt;"",MOD(IF(ISNUMBER(H10),IF(H10&lt;1,H10,IF(H10&lt;100,TIME(H10,0,0),TIME(INT(H10/100),MOD(H10,100),0))),0)-IF(ISNUMBER(D10),IF(D10&lt;1,D10,IF(D10&lt;100,TIME(D10,0,0),TIME(INT(D10/100),MOD(D10,100),0))),0),1)&gt;MOD(IF(ISNUMBER(K10),IF(K10&lt;1,K10,IF(K10&lt;100,TIME(K10,0,0),TIME(INT(K10/100),MOD(K10,100),0))),0)-IF(ISNUMBER(D10),IF(D10&lt;1,D10,IF(D10&lt;100,TIME(D10,0,0),TIME(INT(D10/100),MOD(D10,100),0))),0),1)),AND(F10&lt;&gt;"",MOD(IF(ISNUMBER(F10),IF(F10&lt;1,F10,IF(F10&lt;100,TIME(F10,0,0),TIME(INT(F10/100),MOD(F10,100),0))),0)-IF(ISNUMBER(D10),IF(D10&lt;1,D10,IF(D10&lt;100,TIME(D10,0,0),TIME(INT(D10/100),MOD(D10,100),0))),0),1)&gt;MOD(IF(ISNUMBER(K10),IF(K10&lt;1,K10,IF(K10&lt;100,TIME(K10,0,0),TIME(INT(K10/100),MOD(K10,100),0))),0)-IF(ISNUMBER(D10),IF(D10&lt;1,D10,IF(D10&lt;100,TIME(D10,0,0),TIME(INT(D10/100),MOD(D10,100),0))),0),1)),AND(J10&lt;&gt;"",MOD(IF(ISNUMBER(J10),IF(J10&lt;1,J10,IF(J10&lt;100,TIME(J10,0,0),TIME(INT(J10/100),MOD(J10,100),0))),0)-IF(ISNUMBER(D10),IF(D10&lt;1,D10,IF(D10&lt;100,TIME(D10,0,0),TIME(INT(D10/100),MOD(D10,100),0))),0),1)&gt;MOD(IF(ISNUMBER(K10),IF(K10&lt;1,K10,IF(K10&lt;100,TIME(K10,0,0),TIME(INT(K10/100),MOD(K10,100),0))),0)-IF(ISNUMBER(D10),IF(D10&lt;1,D10,IF(D10&lt;100,TIME(D10,0,0),TIME(INT(D10/100),MOD(D10,100),0))),0),1))),"CHECK",ROUND((MOD(IF(ISNUMBER(K10),IF(K10&lt;1,K10,IF(K10&lt;100,TIME(K10,0,0),TIME(INT(K10/100),MOD(K10,100),0))),0)-IF(ISNUMBER(D10),IF(D10&lt;1,D10,IF(D10&lt;100,TIME(D10,0,0),TIME(INT(D10/100),MOD(D10,100),0))),0),1)-IF(AND(G10&lt;&gt;"",H10&lt;&gt;""),MOD(IF(ISNUMBER(H10),IF(H10&lt;1,H10,IF(H10&lt;100,TIME(H10,0,0),TIME(INT(H10/100),MOD(H10,100),0))),0)-IF(ISNUMBER(D10),IF(D10&lt;1,D10,IF(D10&lt;100,TIME(D10,0,0),TIME(INT(D10/100),MOD(D10,100),0))),0),1)-MOD(IF(ISNUMBER(G10),IF(G10&lt;1,G10,IF(G10&lt;100,TIME(G10,0,0),TIME(INT(G10/100),MOD(G10,100),0))),0)-IF(ISNUMBER(D10),IF(D10&lt;1,D10,IF(D10&lt;100,TIME(D10,0,0),TIME(INT(D10/100),MOD(D10,100),0))),0),1),0))*24-IF(AND(E10&lt;&gt;"",F10&lt;&gt;""),MAX(0,(MOD(IF(ISNUMBER(F10),IF(F10&lt;1,F10,IF(F10&lt;100,TIME(F10,0,0),TIME(INT(F10/100),MOD(F10,100),0))),0)-IF(ISNUMBER(D10),IF(D10&lt;1,D10,IF(D10&lt;100,TIME(D10,0,0),TIME(INT(D10/100),MOD(D10,100),0))),0),1)-MOD(IF(ISNUMBER(E10),IF(E10&lt;1,E10,IF(E10&lt;100,TIME(E10,0,0),TIME(INT(E10/100),MOD(E10,100),0))),0)-IF(ISNUMBER(D10),IF(D10&lt;1,D10,IF(D10&lt;100,TIME(D10,0,0),TIME(INT(D10/100),MOD(D10,100),0))),0),1))*24-10/60),0)-IF(AND(I10&lt;&gt;"",J10&lt;&gt;""),MAX(0,(MOD(IF(ISNUMBER(J10),IF(J10&lt;1,J10,IF(J10&lt;100,TIME(J10,0,0),TIME(INT(J10/100),MOD(J10,100),0))),0)-IF(ISNUMBER(D10),IF(D10&lt;1,D10,IF(D10&lt;100,TIME(D10,0,0),TIME(INT(D10/100),MOD(D10,100),0))),0),1)-MOD(IF(ISNUMBER(I10),IF(I10&lt;1,I10,IF(I10&lt;100,TIME(I10,0,0),TIME(INT(I10/100),MOD(I10,100),0))),0)-IF(ISNUMBER(D10),IF(D10&lt;1,D10,IF(D10&lt;100,TIME(D10,0,0),TIME(INT(D10/100),MOD(D10,100),0))),0),1))*24-10/60),0),2)))</f>
        <v/>
      </c>
      <c r="M10" s="37"/>
    </row>
    <row r="11" spans="1:13" ht="15" customHeight="1">
      <c r="A11" s="8" t="str">
        <f>IF($C$6="","",$C$6+1)</f>
        <v/>
      </c>
      <c r="B11" s="47" t="str">
        <f>IF(A11="","",TEXT(A11,"ddd"))</f>
        <v/>
      </c>
      <c r="C11" s="12"/>
      <c r="D11" s="48"/>
      <c r="E11" s="48"/>
      <c r="F11" s="48"/>
      <c r="G11" s="48"/>
      <c r="H11" s="48"/>
      <c r="I11" s="48"/>
      <c r="J11" s="48"/>
      <c r="K11" s="48"/>
      <c r="L11" s="47" t="str">
        <f>IF(OR(D11="",K11=""),"",IF(OR(AND(G11&lt;&gt;"",H11&lt;&gt;"",MOD(IF(ISNUMBER(H11),IF(H11&lt;1,H11,IF(H11&lt;100,TIME(H11,0,0),TIME(INT(H11/100),MOD(H11,100),0))),0)-IF(ISNUMBER(D11),IF(D11&lt;1,D11,IF(D11&lt;100,TIME(D11,0,0),TIME(INT(D11/100),MOD(D11,100),0))),0),1)&lt;=MOD(IF(ISNUMBER(G11),IF(G11&lt;1,G11,IF(G11&lt;100,TIME(G11,0,0),TIME(INT(G11/100),MOD(G11,100),0))),0)-IF(ISNUMBER(D11),IF(D11&lt;1,D11,IF(D11&lt;100,TIME(D11,0,0),TIME(INT(D11/100),MOD(D11,100),0))),0),1)),AND(E11&lt;&gt;"",F11&lt;&gt;"",MOD(IF(ISNUMBER(F11),IF(F11&lt;1,F11,IF(F11&lt;100,TIME(F11,0,0),TIME(INT(F11/100),MOD(F11,100),0))),0)-IF(ISNUMBER(D11),IF(D11&lt;1,D11,IF(D11&lt;100,TIME(D11,0,0),TIME(INT(D11/100),MOD(D11,100),0))),0),1)&lt;=MOD(IF(ISNUMBER(E11),IF(E11&lt;1,E11,IF(E11&lt;100,TIME(E11,0,0),TIME(INT(E11/100),MOD(E11,100),0))),0)-IF(ISNUMBER(D11),IF(D11&lt;1,D11,IF(D11&lt;100,TIME(D11,0,0),TIME(INT(D11/100),MOD(D11,100),0))),0),1)),AND(I11&lt;&gt;"",J11&lt;&gt;"",MOD(IF(ISNUMBER(J11),IF(J11&lt;1,J11,IF(J11&lt;100,TIME(J11,0,0),TIME(INT(J11/100),MOD(J11,100),0))),0)-IF(ISNUMBER(D11),IF(D11&lt;1,D11,IF(D11&lt;100,TIME(D11,0,0),TIME(INT(D11/100),MOD(D11,100),0))),0),1)&lt;=MOD(IF(ISNUMBER(I11),IF(I11&lt;1,I11,IF(I11&lt;100,TIME(I11,0,0),TIME(INT(I11/100),MOD(I11,100),0))),0)-IF(ISNUMBER(D11),IF(D11&lt;1,D11,IF(D11&lt;100,TIME(D11,0,0),TIME(INT(D11/100),MOD(D11,100),0))),0),1)),AND(H11&lt;&gt;"",MOD(IF(ISNUMBER(H11),IF(H11&lt;1,H11,IF(H11&lt;100,TIME(H11,0,0),TIME(INT(H11/100),MOD(H11,100),0))),0)-IF(ISNUMBER(D11),IF(D11&lt;1,D11,IF(D11&lt;100,TIME(D11,0,0),TIME(INT(D11/100),MOD(D11,100),0))),0),1)&gt;MOD(IF(ISNUMBER(K11),IF(K11&lt;1,K11,IF(K11&lt;100,TIME(K11,0,0),TIME(INT(K11/100),MOD(K11,100),0))),0)-IF(ISNUMBER(D11),IF(D11&lt;1,D11,IF(D11&lt;100,TIME(D11,0,0),TIME(INT(D11/100),MOD(D11,100),0))),0),1)),AND(F11&lt;&gt;"",MOD(IF(ISNUMBER(F11),IF(F11&lt;1,F11,IF(F11&lt;100,TIME(F11,0,0),TIME(INT(F11/100),MOD(F11,100),0))),0)-IF(ISNUMBER(D11),IF(D11&lt;1,D11,IF(D11&lt;100,TIME(D11,0,0),TIME(INT(D11/100),MOD(D11,100),0))),0),1)&gt;MOD(IF(ISNUMBER(K11),IF(K11&lt;1,K11,IF(K11&lt;100,TIME(K11,0,0),TIME(INT(K11/100),MOD(K11,100),0))),0)-IF(ISNUMBER(D11),IF(D11&lt;1,D11,IF(D11&lt;100,TIME(D11,0,0),TIME(INT(D11/100),MOD(D11,100),0))),0),1)),AND(J11&lt;&gt;"",MOD(IF(ISNUMBER(J11),IF(J11&lt;1,J11,IF(J11&lt;100,TIME(J11,0,0),TIME(INT(J11/100),MOD(J11,100),0))),0)-IF(ISNUMBER(D11),IF(D11&lt;1,D11,IF(D11&lt;100,TIME(D11,0,0),TIME(INT(D11/100),MOD(D11,100),0))),0),1)&gt;MOD(IF(ISNUMBER(K11),IF(K11&lt;1,K11,IF(K11&lt;100,TIME(K11,0,0),TIME(INT(K11/100),MOD(K11,100),0))),0)-IF(ISNUMBER(D11),IF(D11&lt;1,D11,IF(D11&lt;100,TIME(D11,0,0),TIME(INT(D11/100),MOD(D11,100),0))),0),1))),"CHECK",ROUND((MOD(IF(ISNUMBER(K11),IF(K11&lt;1,K11,IF(K11&lt;100,TIME(K11,0,0),TIME(INT(K11/100),MOD(K11,100),0))),0)-IF(ISNUMBER(D11),IF(D11&lt;1,D11,IF(D11&lt;100,TIME(D11,0,0),TIME(INT(D11/100),MOD(D11,100),0))),0),1)-IF(AND(G11&lt;&gt;"",H11&lt;&gt;""),MOD(IF(ISNUMBER(H11),IF(H11&lt;1,H11,IF(H11&lt;100,TIME(H11,0,0),TIME(INT(H11/100),MOD(H11,100),0))),0)-IF(ISNUMBER(D11),IF(D11&lt;1,D11,IF(D11&lt;100,TIME(D11,0,0),TIME(INT(D11/100),MOD(D11,100),0))),0),1)-MOD(IF(ISNUMBER(G11),IF(G11&lt;1,G11,IF(G11&lt;100,TIME(G11,0,0),TIME(INT(G11/100),MOD(G11,100),0))),0)-IF(ISNUMBER(D11),IF(D11&lt;1,D11,IF(D11&lt;100,TIME(D11,0,0),TIME(INT(D11/100),MOD(D11,100),0))),0),1),0))*24-IF(AND(E11&lt;&gt;"",F11&lt;&gt;""),MAX(0,(MOD(IF(ISNUMBER(F11),IF(F11&lt;1,F11,IF(F11&lt;100,TIME(F11,0,0),TIME(INT(F11/100),MOD(F11,100),0))),0)-IF(ISNUMBER(D11),IF(D11&lt;1,D11,IF(D11&lt;100,TIME(D11,0,0),TIME(INT(D11/100),MOD(D11,100),0))),0),1)-MOD(IF(ISNUMBER(E11),IF(E11&lt;1,E11,IF(E11&lt;100,TIME(E11,0,0),TIME(INT(E11/100),MOD(E11,100),0))),0)-IF(ISNUMBER(D11),IF(D11&lt;1,D11,IF(D11&lt;100,TIME(D11,0,0),TIME(INT(D11/100),MOD(D11,100),0))),0),1))*24-10/60),0)-IF(AND(I11&lt;&gt;"",J11&lt;&gt;""),MAX(0,(MOD(IF(ISNUMBER(J11),IF(J11&lt;1,J11,IF(J11&lt;100,TIME(J11,0,0),TIME(INT(J11/100),MOD(J11,100),0))),0)-IF(ISNUMBER(D11),IF(D11&lt;1,D11,IF(D11&lt;100,TIME(D11,0,0),TIME(INT(D11/100),MOD(D11,100),0))),0),1)-MOD(IF(ISNUMBER(I11),IF(I11&lt;1,I11,IF(I11&lt;100,TIME(I11,0,0),TIME(INT(I11/100),MOD(I11,100),0))),0)-IF(ISNUMBER(D11),IF(D11&lt;1,D11,IF(D11&lt;100,TIME(D11,0,0),TIME(INT(D11/100),MOD(D11,100),0))),0),1))*24-10/60),0),2)))</f>
        <v/>
      </c>
      <c r="M11" s="37"/>
    </row>
    <row r="12" spans="1:13" ht="15" customHeight="1">
      <c r="A12" s="8" t="str">
        <f>IF($C$6="","",$C$6+2)</f>
        <v/>
      </c>
      <c r="B12" s="47" t="str">
        <f>IF(A12="","",TEXT(A12,"ddd"))</f>
        <v/>
      </c>
      <c r="C12" s="12"/>
      <c r="D12" s="48"/>
      <c r="E12" s="48"/>
      <c r="F12" s="48"/>
      <c r="G12" s="48"/>
      <c r="H12" s="48"/>
      <c r="I12" s="48"/>
      <c r="J12" s="48"/>
      <c r="K12" s="48"/>
      <c r="L12" s="47" t="str">
        <f>IF(OR(D12="",K12=""),"",IF(OR(AND(G12&lt;&gt;"",H12&lt;&gt;"",MOD(IF(ISNUMBER(H12),IF(H12&lt;1,H12,IF(H12&lt;100,TIME(H12,0,0),TIME(INT(H12/100),MOD(H12,100),0))),0)-IF(ISNUMBER(D12),IF(D12&lt;1,D12,IF(D12&lt;100,TIME(D12,0,0),TIME(INT(D12/100),MOD(D12,100),0))),0),1)&lt;=MOD(IF(ISNUMBER(G12),IF(G12&lt;1,G12,IF(G12&lt;100,TIME(G12,0,0),TIME(INT(G12/100),MOD(G12,100),0))),0)-IF(ISNUMBER(D12),IF(D12&lt;1,D12,IF(D12&lt;100,TIME(D12,0,0),TIME(INT(D12/100),MOD(D12,100),0))),0),1)),AND(E12&lt;&gt;"",F12&lt;&gt;"",MOD(IF(ISNUMBER(F12),IF(F12&lt;1,F12,IF(F12&lt;100,TIME(F12,0,0),TIME(INT(F12/100),MOD(F12,100),0))),0)-IF(ISNUMBER(D12),IF(D12&lt;1,D12,IF(D12&lt;100,TIME(D12,0,0),TIME(INT(D12/100),MOD(D12,100),0))),0),1)&lt;=MOD(IF(ISNUMBER(E12),IF(E12&lt;1,E12,IF(E12&lt;100,TIME(E12,0,0),TIME(INT(E12/100),MOD(E12,100),0))),0)-IF(ISNUMBER(D12),IF(D12&lt;1,D12,IF(D12&lt;100,TIME(D12,0,0),TIME(INT(D12/100),MOD(D12,100),0))),0),1)),AND(I12&lt;&gt;"",J12&lt;&gt;"",MOD(IF(ISNUMBER(J12),IF(J12&lt;1,J12,IF(J12&lt;100,TIME(J12,0,0),TIME(INT(J12/100),MOD(J12,100),0))),0)-IF(ISNUMBER(D12),IF(D12&lt;1,D12,IF(D12&lt;100,TIME(D12,0,0),TIME(INT(D12/100),MOD(D12,100),0))),0),1)&lt;=MOD(IF(ISNUMBER(I12),IF(I12&lt;1,I12,IF(I12&lt;100,TIME(I12,0,0),TIME(INT(I12/100),MOD(I12,100),0))),0)-IF(ISNUMBER(D12),IF(D12&lt;1,D12,IF(D12&lt;100,TIME(D12,0,0),TIME(INT(D12/100),MOD(D12,100),0))),0),1)),AND(H12&lt;&gt;"",MOD(IF(ISNUMBER(H12),IF(H12&lt;1,H12,IF(H12&lt;100,TIME(H12,0,0),TIME(INT(H12/100),MOD(H12,100),0))),0)-IF(ISNUMBER(D12),IF(D12&lt;1,D12,IF(D12&lt;100,TIME(D12,0,0),TIME(INT(D12/100),MOD(D12,100),0))),0),1)&gt;MOD(IF(ISNUMBER(K12),IF(K12&lt;1,K12,IF(K12&lt;100,TIME(K12,0,0),TIME(INT(K12/100),MOD(K12,100),0))),0)-IF(ISNUMBER(D12),IF(D12&lt;1,D12,IF(D12&lt;100,TIME(D12,0,0),TIME(INT(D12/100),MOD(D12,100),0))),0),1)),AND(F12&lt;&gt;"",MOD(IF(ISNUMBER(F12),IF(F12&lt;1,F12,IF(F12&lt;100,TIME(F12,0,0),TIME(INT(F12/100),MOD(F12,100),0))),0)-IF(ISNUMBER(D12),IF(D12&lt;1,D12,IF(D12&lt;100,TIME(D12,0,0),TIME(INT(D12/100),MOD(D12,100),0))),0),1)&gt;MOD(IF(ISNUMBER(K12),IF(K12&lt;1,K12,IF(K12&lt;100,TIME(K12,0,0),TIME(INT(K12/100),MOD(K12,100),0))),0)-IF(ISNUMBER(D12),IF(D12&lt;1,D12,IF(D12&lt;100,TIME(D12,0,0),TIME(INT(D12/100),MOD(D12,100),0))),0),1)),AND(J12&lt;&gt;"",MOD(IF(ISNUMBER(J12),IF(J12&lt;1,J12,IF(J12&lt;100,TIME(J12,0,0),TIME(INT(J12/100),MOD(J12,100),0))),0)-IF(ISNUMBER(D12),IF(D12&lt;1,D12,IF(D12&lt;100,TIME(D12,0,0),TIME(INT(D12/100),MOD(D12,100),0))),0),1)&gt;MOD(IF(ISNUMBER(K12),IF(K12&lt;1,K12,IF(K12&lt;100,TIME(K12,0,0),TIME(INT(K12/100),MOD(K12,100),0))),0)-IF(ISNUMBER(D12),IF(D12&lt;1,D12,IF(D12&lt;100,TIME(D12,0,0),TIME(INT(D12/100),MOD(D12,100),0))),0),1))),"CHECK",ROUND((MOD(IF(ISNUMBER(K12),IF(K12&lt;1,K12,IF(K12&lt;100,TIME(K12,0,0),TIME(INT(K12/100),MOD(K12,100),0))),0)-IF(ISNUMBER(D12),IF(D12&lt;1,D12,IF(D12&lt;100,TIME(D12,0,0),TIME(INT(D12/100),MOD(D12,100),0))),0),1)-IF(AND(G12&lt;&gt;"",H12&lt;&gt;""),MOD(IF(ISNUMBER(H12),IF(H12&lt;1,H12,IF(H12&lt;100,TIME(H12,0,0),TIME(INT(H12/100),MOD(H12,100),0))),0)-IF(ISNUMBER(D12),IF(D12&lt;1,D12,IF(D12&lt;100,TIME(D12,0,0),TIME(INT(D12/100),MOD(D12,100),0))),0),1)-MOD(IF(ISNUMBER(G12),IF(G12&lt;1,G12,IF(G12&lt;100,TIME(G12,0,0),TIME(INT(G12/100),MOD(G12,100),0))),0)-IF(ISNUMBER(D12),IF(D12&lt;1,D12,IF(D12&lt;100,TIME(D12,0,0),TIME(INT(D12/100),MOD(D12,100),0))),0),1),0))*24-IF(AND(E12&lt;&gt;"",F12&lt;&gt;""),MAX(0,(MOD(IF(ISNUMBER(F12),IF(F12&lt;1,F12,IF(F12&lt;100,TIME(F12,0,0),TIME(INT(F12/100),MOD(F12,100),0))),0)-IF(ISNUMBER(D12),IF(D12&lt;1,D12,IF(D12&lt;100,TIME(D12,0,0),TIME(INT(D12/100),MOD(D12,100),0))),0),1)-MOD(IF(ISNUMBER(E12),IF(E12&lt;1,E12,IF(E12&lt;100,TIME(E12,0,0),TIME(INT(E12/100),MOD(E12,100),0))),0)-IF(ISNUMBER(D12),IF(D12&lt;1,D12,IF(D12&lt;100,TIME(D12,0,0),TIME(INT(D12/100),MOD(D12,100),0))),0),1))*24-10/60),0)-IF(AND(I12&lt;&gt;"",J12&lt;&gt;""),MAX(0,(MOD(IF(ISNUMBER(J12),IF(J12&lt;1,J12,IF(J12&lt;100,TIME(J12,0,0),TIME(INT(J12/100),MOD(J12,100),0))),0)-IF(ISNUMBER(D12),IF(D12&lt;1,D12,IF(D12&lt;100,TIME(D12,0,0),TIME(INT(D12/100),MOD(D12,100),0))),0),1)-MOD(IF(ISNUMBER(I12),IF(I12&lt;1,I12,IF(I12&lt;100,TIME(I12,0,0),TIME(INT(I12/100),MOD(I12,100),0))),0)-IF(ISNUMBER(D12),IF(D12&lt;1,D12,IF(D12&lt;100,TIME(D12,0,0),TIME(INT(D12/100),MOD(D12,100),0))),0),1))*24-10/60),0),2)))</f>
        <v/>
      </c>
      <c r="M12" s="37"/>
    </row>
    <row r="13" spans="1:13" ht="15" customHeight="1">
      <c r="A13" s="8" t="str">
        <f>IF($C$6="","",$C$6+3)</f>
        <v/>
      </c>
      <c r="B13" s="47" t="str">
        <f>IF(A13="","",TEXT(A13,"ddd"))</f>
        <v/>
      </c>
      <c r="C13" s="12"/>
      <c r="D13" s="48"/>
      <c r="E13" s="48"/>
      <c r="F13" s="48"/>
      <c r="G13" s="48"/>
      <c r="H13" s="48"/>
      <c r="I13" s="48"/>
      <c r="J13" s="48"/>
      <c r="K13" s="48"/>
      <c r="L13" s="47" t="str">
        <f>IF(OR(D13="",K13=""),"",IF(OR(AND(G13&lt;&gt;"",H13&lt;&gt;"",MOD(IF(ISNUMBER(H13),IF(H13&lt;1,H13,IF(H13&lt;100,TIME(H13,0,0),TIME(INT(H13/100),MOD(H13,100),0))),0)-IF(ISNUMBER(D13),IF(D13&lt;1,D13,IF(D13&lt;100,TIME(D13,0,0),TIME(INT(D13/100),MOD(D13,100),0))),0),1)&lt;=MOD(IF(ISNUMBER(G13),IF(G13&lt;1,G13,IF(G13&lt;100,TIME(G13,0,0),TIME(INT(G13/100),MOD(G13,100),0))),0)-IF(ISNUMBER(D13),IF(D13&lt;1,D13,IF(D13&lt;100,TIME(D13,0,0),TIME(INT(D13/100),MOD(D13,100),0))),0),1)),AND(E13&lt;&gt;"",F13&lt;&gt;"",MOD(IF(ISNUMBER(F13),IF(F13&lt;1,F13,IF(F13&lt;100,TIME(F13,0,0),TIME(INT(F13/100),MOD(F13,100),0))),0)-IF(ISNUMBER(D13),IF(D13&lt;1,D13,IF(D13&lt;100,TIME(D13,0,0),TIME(INT(D13/100),MOD(D13,100),0))),0),1)&lt;=MOD(IF(ISNUMBER(E13),IF(E13&lt;1,E13,IF(E13&lt;100,TIME(E13,0,0),TIME(INT(E13/100),MOD(E13,100),0))),0)-IF(ISNUMBER(D13),IF(D13&lt;1,D13,IF(D13&lt;100,TIME(D13,0,0),TIME(INT(D13/100),MOD(D13,100),0))),0),1)),AND(I13&lt;&gt;"",J13&lt;&gt;"",MOD(IF(ISNUMBER(J13),IF(J13&lt;1,J13,IF(J13&lt;100,TIME(J13,0,0),TIME(INT(J13/100),MOD(J13,100),0))),0)-IF(ISNUMBER(D13),IF(D13&lt;1,D13,IF(D13&lt;100,TIME(D13,0,0),TIME(INT(D13/100),MOD(D13,100),0))),0),1)&lt;=MOD(IF(ISNUMBER(I13),IF(I13&lt;1,I13,IF(I13&lt;100,TIME(I13,0,0),TIME(INT(I13/100),MOD(I13,100),0))),0)-IF(ISNUMBER(D13),IF(D13&lt;1,D13,IF(D13&lt;100,TIME(D13,0,0),TIME(INT(D13/100),MOD(D13,100),0))),0),1)),AND(H13&lt;&gt;"",MOD(IF(ISNUMBER(H13),IF(H13&lt;1,H13,IF(H13&lt;100,TIME(H13,0,0),TIME(INT(H13/100),MOD(H13,100),0))),0)-IF(ISNUMBER(D13),IF(D13&lt;1,D13,IF(D13&lt;100,TIME(D13,0,0),TIME(INT(D13/100),MOD(D13,100),0))),0),1)&gt;MOD(IF(ISNUMBER(K13),IF(K13&lt;1,K13,IF(K13&lt;100,TIME(K13,0,0),TIME(INT(K13/100),MOD(K13,100),0))),0)-IF(ISNUMBER(D13),IF(D13&lt;1,D13,IF(D13&lt;100,TIME(D13,0,0),TIME(INT(D13/100),MOD(D13,100),0))),0),1)),AND(F13&lt;&gt;"",MOD(IF(ISNUMBER(F13),IF(F13&lt;1,F13,IF(F13&lt;100,TIME(F13,0,0),TIME(INT(F13/100),MOD(F13,100),0))),0)-IF(ISNUMBER(D13),IF(D13&lt;1,D13,IF(D13&lt;100,TIME(D13,0,0),TIME(INT(D13/100),MOD(D13,100),0))),0),1)&gt;MOD(IF(ISNUMBER(K13),IF(K13&lt;1,K13,IF(K13&lt;100,TIME(K13,0,0),TIME(INT(K13/100),MOD(K13,100),0))),0)-IF(ISNUMBER(D13),IF(D13&lt;1,D13,IF(D13&lt;100,TIME(D13,0,0),TIME(INT(D13/100),MOD(D13,100),0))),0),1)),AND(J13&lt;&gt;"",MOD(IF(ISNUMBER(J13),IF(J13&lt;1,J13,IF(J13&lt;100,TIME(J13,0,0),TIME(INT(J13/100),MOD(J13,100),0))),0)-IF(ISNUMBER(D13),IF(D13&lt;1,D13,IF(D13&lt;100,TIME(D13,0,0),TIME(INT(D13/100),MOD(D13,100),0))),0),1)&gt;MOD(IF(ISNUMBER(K13),IF(K13&lt;1,K13,IF(K13&lt;100,TIME(K13,0,0),TIME(INT(K13/100),MOD(K13,100),0))),0)-IF(ISNUMBER(D13),IF(D13&lt;1,D13,IF(D13&lt;100,TIME(D13,0,0),TIME(INT(D13/100),MOD(D13,100),0))),0),1))),"CHECK",ROUND((MOD(IF(ISNUMBER(K13),IF(K13&lt;1,K13,IF(K13&lt;100,TIME(K13,0,0),TIME(INT(K13/100),MOD(K13,100),0))),0)-IF(ISNUMBER(D13),IF(D13&lt;1,D13,IF(D13&lt;100,TIME(D13,0,0),TIME(INT(D13/100),MOD(D13,100),0))),0),1)-IF(AND(G13&lt;&gt;"",H13&lt;&gt;""),MOD(IF(ISNUMBER(H13),IF(H13&lt;1,H13,IF(H13&lt;100,TIME(H13,0,0),TIME(INT(H13/100),MOD(H13,100),0))),0)-IF(ISNUMBER(D13),IF(D13&lt;1,D13,IF(D13&lt;100,TIME(D13,0,0),TIME(INT(D13/100),MOD(D13,100),0))),0),1)-MOD(IF(ISNUMBER(G13),IF(G13&lt;1,G13,IF(G13&lt;100,TIME(G13,0,0),TIME(INT(G13/100),MOD(G13,100),0))),0)-IF(ISNUMBER(D13),IF(D13&lt;1,D13,IF(D13&lt;100,TIME(D13,0,0),TIME(INT(D13/100),MOD(D13,100),0))),0),1),0))*24-IF(AND(E13&lt;&gt;"",F13&lt;&gt;""),MAX(0,(MOD(IF(ISNUMBER(F13),IF(F13&lt;1,F13,IF(F13&lt;100,TIME(F13,0,0),TIME(INT(F13/100),MOD(F13,100),0))),0)-IF(ISNUMBER(D13),IF(D13&lt;1,D13,IF(D13&lt;100,TIME(D13,0,0),TIME(INT(D13/100),MOD(D13,100),0))),0),1)-MOD(IF(ISNUMBER(E13),IF(E13&lt;1,E13,IF(E13&lt;100,TIME(E13,0,0),TIME(INT(E13/100),MOD(E13,100),0))),0)-IF(ISNUMBER(D13),IF(D13&lt;1,D13,IF(D13&lt;100,TIME(D13,0,0),TIME(INT(D13/100),MOD(D13,100),0))),0),1))*24-10/60),0)-IF(AND(I13&lt;&gt;"",J13&lt;&gt;""),MAX(0,(MOD(IF(ISNUMBER(J13),IF(J13&lt;1,J13,IF(J13&lt;100,TIME(J13,0,0),TIME(INT(J13/100),MOD(J13,100),0))),0)-IF(ISNUMBER(D13),IF(D13&lt;1,D13,IF(D13&lt;100,TIME(D13,0,0),TIME(INT(D13/100),MOD(D13,100),0))),0),1)-MOD(IF(ISNUMBER(I13),IF(I13&lt;1,I13,IF(I13&lt;100,TIME(I13,0,0),TIME(INT(I13/100),MOD(I13,100),0))),0)-IF(ISNUMBER(D13),IF(D13&lt;1,D13,IF(D13&lt;100,TIME(D13,0,0),TIME(INT(D13/100),MOD(D13,100),0))),0),1))*24-10/60),0),2)))</f>
        <v/>
      </c>
      <c r="M13" s="37"/>
    </row>
    <row r="14" spans="1:13" ht="15" customHeight="1">
      <c r="A14" s="8" t="str">
        <f>IF($C$6="","",$C$6+4)</f>
        <v/>
      </c>
      <c r="B14" s="47" t="str">
        <f>IF(A14="","",TEXT(A14,"ddd"))</f>
        <v/>
      </c>
      <c r="C14" s="12"/>
      <c r="D14" s="48"/>
      <c r="E14" s="48"/>
      <c r="F14" s="48"/>
      <c r="G14" s="48"/>
      <c r="H14" s="48"/>
      <c r="I14" s="48"/>
      <c r="J14" s="48"/>
      <c r="K14" s="48"/>
      <c r="L14" s="47" t="str">
        <f>IF(OR(D14="",K14=""),"",IF(OR(AND(G14&lt;&gt;"",H14&lt;&gt;"",MOD(IF(ISNUMBER(H14),IF(H14&lt;1,H14,IF(H14&lt;100,TIME(H14,0,0),TIME(INT(H14/100),MOD(H14,100),0))),0)-IF(ISNUMBER(D14),IF(D14&lt;1,D14,IF(D14&lt;100,TIME(D14,0,0),TIME(INT(D14/100),MOD(D14,100),0))),0),1)&lt;=MOD(IF(ISNUMBER(G14),IF(G14&lt;1,G14,IF(G14&lt;100,TIME(G14,0,0),TIME(INT(G14/100),MOD(G14,100),0))),0)-IF(ISNUMBER(D14),IF(D14&lt;1,D14,IF(D14&lt;100,TIME(D14,0,0),TIME(INT(D14/100),MOD(D14,100),0))),0),1)),AND(E14&lt;&gt;"",F14&lt;&gt;"",MOD(IF(ISNUMBER(F14),IF(F14&lt;1,F14,IF(F14&lt;100,TIME(F14,0,0),TIME(INT(F14/100),MOD(F14,100),0))),0)-IF(ISNUMBER(D14),IF(D14&lt;1,D14,IF(D14&lt;100,TIME(D14,0,0),TIME(INT(D14/100),MOD(D14,100),0))),0),1)&lt;=MOD(IF(ISNUMBER(E14),IF(E14&lt;1,E14,IF(E14&lt;100,TIME(E14,0,0),TIME(INT(E14/100),MOD(E14,100),0))),0)-IF(ISNUMBER(D14),IF(D14&lt;1,D14,IF(D14&lt;100,TIME(D14,0,0),TIME(INT(D14/100),MOD(D14,100),0))),0),1)),AND(I14&lt;&gt;"",J14&lt;&gt;"",MOD(IF(ISNUMBER(J14),IF(J14&lt;1,J14,IF(J14&lt;100,TIME(J14,0,0),TIME(INT(J14/100),MOD(J14,100),0))),0)-IF(ISNUMBER(D14),IF(D14&lt;1,D14,IF(D14&lt;100,TIME(D14,0,0),TIME(INT(D14/100),MOD(D14,100),0))),0),1)&lt;=MOD(IF(ISNUMBER(I14),IF(I14&lt;1,I14,IF(I14&lt;100,TIME(I14,0,0),TIME(INT(I14/100),MOD(I14,100),0))),0)-IF(ISNUMBER(D14),IF(D14&lt;1,D14,IF(D14&lt;100,TIME(D14,0,0),TIME(INT(D14/100),MOD(D14,100),0))),0),1)),AND(H14&lt;&gt;"",MOD(IF(ISNUMBER(H14),IF(H14&lt;1,H14,IF(H14&lt;100,TIME(H14,0,0),TIME(INT(H14/100),MOD(H14,100),0))),0)-IF(ISNUMBER(D14),IF(D14&lt;1,D14,IF(D14&lt;100,TIME(D14,0,0),TIME(INT(D14/100),MOD(D14,100),0))),0),1)&gt;MOD(IF(ISNUMBER(K14),IF(K14&lt;1,K14,IF(K14&lt;100,TIME(K14,0,0),TIME(INT(K14/100),MOD(K14,100),0))),0)-IF(ISNUMBER(D14),IF(D14&lt;1,D14,IF(D14&lt;100,TIME(D14,0,0),TIME(INT(D14/100),MOD(D14,100),0))),0),1)),AND(F14&lt;&gt;"",MOD(IF(ISNUMBER(F14),IF(F14&lt;1,F14,IF(F14&lt;100,TIME(F14,0,0),TIME(INT(F14/100),MOD(F14,100),0))),0)-IF(ISNUMBER(D14),IF(D14&lt;1,D14,IF(D14&lt;100,TIME(D14,0,0),TIME(INT(D14/100),MOD(D14,100),0))),0),1)&gt;MOD(IF(ISNUMBER(K14),IF(K14&lt;1,K14,IF(K14&lt;100,TIME(K14,0,0),TIME(INT(K14/100),MOD(K14,100),0))),0)-IF(ISNUMBER(D14),IF(D14&lt;1,D14,IF(D14&lt;100,TIME(D14,0,0),TIME(INT(D14/100),MOD(D14,100),0))),0),1)),AND(J14&lt;&gt;"",MOD(IF(ISNUMBER(J14),IF(J14&lt;1,J14,IF(J14&lt;100,TIME(J14,0,0),TIME(INT(J14/100),MOD(J14,100),0))),0)-IF(ISNUMBER(D14),IF(D14&lt;1,D14,IF(D14&lt;100,TIME(D14,0,0),TIME(INT(D14/100),MOD(D14,100),0))),0),1)&gt;MOD(IF(ISNUMBER(K14),IF(K14&lt;1,K14,IF(K14&lt;100,TIME(K14,0,0),TIME(INT(K14/100),MOD(K14,100),0))),0)-IF(ISNUMBER(D14),IF(D14&lt;1,D14,IF(D14&lt;100,TIME(D14,0,0),TIME(INT(D14/100),MOD(D14,100),0))),0),1))),"CHECK",ROUND((MOD(IF(ISNUMBER(K14),IF(K14&lt;1,K14,IF(K14&lt;100,TIME(K14,0,0),TIME(INT(K14/100),MOD(K14,100),0))),0)-IF(ISNUMBER(D14),IF(D14&lt;1,D14,IF(D14&lt;100,TIME(D14,0,0),TIME(INT(D14/100),MOD(D14,100),0))),0),1)-IF(AND(G14&lt;&gt;"",H14&lt;&gt;""),MOD(IF(ISNUMBER(H14),IF(H14&lt;1,H14,IF(H14&lt;100,TIME(H14,0,0),TIME(INT(H14/100),MOD(H14,100),0))),0)-IF(ISNUMBER(D14),IF(D14&lt;1,D14,IF(D14&lt;100,TIME(D14,0,0),TIME(INT(D14/100),MOD(D14,100),0))),0),1)-MOD(IF(ISNUMBER(G14),IF(G14&lt;1,G14,IF(G14&lt;100,TIME(G14,0,0),TIME(INT(G14/100),MOD(G14,100),0))),0)-IF(ISNUMBER(D14),IF(D14&lt;1,D14,IF(D14&lt;100,TIME(D14,0,0),TIME(INT(D14/100),MOD(D14,100),0))),0),1),0))*24-IF(AND(E14&lt;&gt;"",F14&lt;&gt;""),MAX(0,(MOD(IF(ISNUMBER(F14),IF(F14&lt;1,F14,IF(F14&lt;100,TIME(F14,0,0),TIME(INT(F14/100),MOD(F14,100),0))),0)-IF(ISNUMBER(D14),IF(D14&lt;1,D14,IF(D14&lt;100,TIME(D14,0,0),TIME(INT(D14/100),MOD(D14,100),0))),0),1)-MOD(IF(ISNUMBER(E14),IF(E14&lt;1,E14,IF(E14&lt;100,TIME(E14,0,0),TIME(INT(E14/100),MOD(E14,100),0))),0)-IF(ISNUMBER(D14),IF(D14&lt;1,D14,IF(D14&lt;100,TIME(D14,0,0),TIME(INT(D14/100),MOD(D14,100),0))),0),1))*24-10/60),0)-IF(AND(I14&lt;&gt;"",J14&lt;&gt;""),MAX(0,(MOD(IF(ISNUMBER(J14),IF(J14&lt;1,J14,IF(J14&lt;100,TIME(J14,0,0),TIME(INT(J14/100),MOD(J14,100),0))),0)-IF(ISNUMBER(D14),IF(D14&lt;1,D14,IF(D14&lt;100,TIME(D14,0,0),TIME(INT(D14/100),MOD(D14,100),0))),0),1)-MOD(IF(ISNUMBER(I14),IF(I14&lt;1,I14,IF(I14&lt;100,TIME(I14,0,0),TIME(INT(I14/100),MOD(I14,100),0))),0)-IF(ISNUMBER(D14),IF(D14&lt;1,D14,IF(D14&lt;100,TIME(D14,0,0),TIME(INT(D14/100),MOD(D14,100),0))),0),1))*24-10/60),0),2)))</f>
        <v/>
      </c>
      <c r="M14" s="37"/>
    </row>
    <row r="15" spans="1:13" ht="15" customHeight="1">
      <c r="A15" s="8" t="str">
        <f>IF($C$6="","",$C$6+5)</f>
        <v/>
      </c>
      <c r="B15" s="47" t="str">
        <f>IF(A15="","",TEXT(A15,"ddd"))</f>
        <v/>
      </c>
      <c r="C15" s="12"/>
      <c r="D15" s="48"/>
      <c r="E15" s="48"/>
      <c r="F15" s="48"/>
      <c r="G15" s="48"/>
      <c r="H15" s="48"/>
      <c r="I15" s="48"/>
      <c r="J15" s="48"/>
      <c r="K15" s="48"/>
      <c r="L15" s="47" t="str">
        <f>IF(OR(D15="",K15=""),"",IF(OR(AND(G15&lt;&gt;"",H15&lt;&gt;"",MOD(IF(ISNUMBER(H15),IF(H15&lt;1,H15,IF(H15&lt;100,TIME(H15,0,0),TIME(INT(H15/100),MOD(H15,100),0))),0)-IF(ISNUMBER(D15),IF(D15&lt;1,D15,IF(D15&lt;100,TIME(D15,0,0),TIME(INT(D15/100),MOD(D15,100),0))),0),1)&lt;=MOD(IF(ISNUMBER(G15),IF(G15&lt;1,G15,IF(G15&lt;100,TIME(G15,0,0),TIME(INT(G15/100),MOD(G15,100),0))),0)-IF(ISNUMBER(D15),IF(D15&lt;1,D15,IF(D15&lt;100,TIME(D15,0,0),TIME(INT(D15/100),MOD(D15,100),0))),0),1)),AND(E15&lt;&gt;"",F15&lt;&gt;"",MOD(IF(ISNUMBER(F15),IF(F15&lt;1,F15,IF(F15&lt;100,TIME(F15,0,0),TIME(INT(F15/100),MOD(F15,100),0))),0)-IF(ISNUMBER(D15),IF(D15&lt;1,D15,IF(D15&lt;100,TIME(D15,0,0),TIME(INT(D15/100),MOD(D15,100),0))),0),1)&lt;=MOD(IF(ISNUMBER(E15),IF(E15&lt;1,E15,IF(E15&lt;100,TIME(E15,0,0),TIME(INT(E15/100),MOD(E15,100),0))),0)-IF(ISNUMBER(D15),IF(D15&lt;1,D15,IF(D15&lt;100,TIME(D15,0,0),TIME(INT(D15/100),MOD(D15,100),0))),0),1)),AND(I15&lt;&gt;"",J15&lt;&gt;"",MOD(IF(ISNUMBER(J15),IF(J15&lt;1,J15,IF(J15&lt;100,TIME(J15,0,0),TIME(INT(J15/100),MOD(J15,100),0))),0)-IF(ISNUMBER(D15),IF(D15&lt;1,D15,IF(D15&lt;100,TIME(D15,0,0),TIME(INT(D15/100),MOD(D15,100),0))),0),1)&lt;=MOD(IF(ISNUMBER(I15),IF(I15&lt;1,I15,IF(I15&lt;100,TIME(I15,0,0),TIME(INT(I15/100),MOD(I15,100),0))),0)-IF(ISNUMBER(D15),IF(D15&lt;1,D15,IF(D15&lt;100,TIME(D15,0,0),TIME(INT(D15/100),MOD(D15,100),0))),0),1)),AND(H15&lt;&gt;"",MOD(IF(ISNUMBER(H15),IF(H15&lt;1,H15,IF(H15&lt;100,TIME(H15,0,0),TIME(INT(H15/100),MOD(H15,100),0))),0)-IF(ISNUMBER(D15),IF(D15&lt;1,D15,IF(D15&lt;100,TIME(D15,0,0),TIME(INT(D15/100),MOD(D15,100),0))),0),1)&gt;MOD(IF(ISNUMBER(K15),IF(K15&lt;1,K15,IF(K15&lt;100,TIME(K15,0,0),TIME(INT(K15/100),MOD(K15,100),0))),0)-IF(ISNUMBER(D15),IF(D15&lt;1,D15,IF(D15&lt;100,TIME(D15,0,0),TIME(INT(D15/100),MOD(D15,100),0))),0),1)),AND(F15&lt;&gt;"",MOD(IF(ISNUMBER(F15),IF(F15&lt;1,F15,IF(F15&lt;100,TIME(F15,0,0),TIME(INT(F15/100),MOD(F15,100),0))),0)-IF(ISNUMBER(D15),IF(D15&lt;1,D15,IF(D15&lt;100,TIME(D15,0,0),TIME(INT(D15/100),MOD(D15,100),0))),0),1)&gt;MOD(IF(ISNUMBER(K15),IF(K15&lt;1,K15,IF(K15&lt;100,TIME(K15,0,0),TIME(INT(K15/100),MOD(K15,100),0))),0)-IF(ISNUMBER(D15),IF(D15&lt;1,D15,IF(D15&lt;100,TIME(D15,0,0),TIME(INT(D15/100),MOD(D15,100),0))),0),1)),AND(J15&lt;&gt;"",MOD(IF(ISNUMBER(J15),IF(J15&lt;1,J15,IF(J15&lt;100,TIME(J15,0,0),TIME(INT(J15/100),MOD(J15,100),0))),0)-IF(ISNUMBER(D15),IF(D15&lt;1,D15,IF(D15&lt;100,TIME(D15,0,0),TIME(INT(D15/100),MOD(D15,100),0))),0),1)&gt;MOD(IF(ISNUMBER(K15),IF(K15&lt;1,K15,IF(K15&lt;100,TIME(K15,0,0),TIME(INT(K15/100),MOD(K15,100),0))),0)-IF(ISNUMBER(D15),IF(D15&lt;1,D15,IF(D15&lt;100,TIME(D15,0,0),TIME(INT(D15/100),MOD(D15,100),0))),0),1))),"CHECK",ROUND((MOD(IF(ISNUMBER(K15),IF(K15&lt;1,K15,IF(K15&lt;100,TIME(K15,0,0),TIME(INT(K15/100),MOD(K15,100),0))),0)-IF(ISNUMBER(D15),IF(D15&lt;1,D15,IF(D15&lt;100,TIME(D15,0,0),TIME(INT(D15/100),MOD(D15,100),0))),0),1)-IF(AND(G15&lt;&gt;"",H15&lt;&gt;""),MOD(IF(ISNUMBER(H15),IF(H15&lt;1,H15,IF(H15&lt;100,TIME(H15,0,0),TIME(INT(H15/100),MOD(H15,100),0))),0)-IF(ISNUMBER(D15),IF(D15&lt;1,D15,IF(D15&lt;100,TIME(D15,0,0),TIME(INT(D15/100),MOD(D15,100),0))),0),1)-MOD(IF(ISNUMBER(G15),IF(G15&lt;1,G15,IF(G15&lt;100,TIME(G15,0,0),TIME(INT(G15/100),MOD(G15,100),0))),0)-IF(ISNUMBER(D15),IF(D15&lt;1,D15,IF(D15&lt;100,TIME(D15,0,0),TIME(INT(D15/100),MOD(D15,100),0))),0),1),0))*24-IF(AND(E15&lt;&gt;"",F15&lt;&gt;""),MAX(0,(MOD(IF(ISNUMBER(F15),IF(F15&lt;1,F15,IF(F15&lt;100,TIME(F15,0,0),TIME(INT(F15/100),MOD(F15,100),0))),0)-IF(ISNUMBER(D15),IF(D15&lt;1,D15,IF(D15&lt;100,TIME(D15,0,0),TIME(INT(D15/100),MOD(D15,100),0))),0),1)-MOD(IF(ISNUMBER(E15),IF(E15&lt;1,E15,IF(E15&lt;100,TIME(E15,0,0),TIME(INT(E15/100),MOD(E15,100),0))),0)-IF(ISNUMBER(D15),IF(D15&lt;1,D15,IF(D15&lt;100,TIME(D15,0,0),TIME(INT(D15/100),MOD(D15,100),0))),0),1))*24-10/60),0)-IF(AND(I15&lt;&gt;"",J15&lt;&gt;""),MAX(0,(MOD(IF(ISNUMBER(J15),IF(J15&lt;1,J15,IF(J15&lt;100,TIME(J15,0,0),TIME(INT(J15/100),MOD(J15,100),0))),0)-IF(ISNUMBER(D15),IF(D15&lt;1,D15,IF(D15&lt;100,TIME(D15,0,0),TIME(INT(D15/100),MOD(D15,100),0))),0),1)-MOD(IF(ISNUMBER(I15),IF(I15&lt;1,I15,IF(I15&lt;100,TIME(I15,0,0),TIME(INT(I15/100),MOD(I15,100),0))),0)-IF(ISNUMBER(D15),IF(D15&lt;1,D15,IF(D15&lt;100,TIME(D15,0,0),TIME(INT(D15/100),MOD(D15,100),0))),0),1))*24-10/60),0),2)))</f>
        <v/>
      </c>
      <c r="M15" s="37"/>
    </row>
    <row r="16" spans="1:13" ht="15" customHeight="1">
      <c r="A16" s="8" t="str">
        <f>IF($C$6="","",$C$6+6)</f>
        <v/>
      </c>
      <c r="B16" s="47" t="str">
        <f>IF(A16="","",TEXT(A16,"ddd"))</f>
        <v/>
      </c>
      <c r="C16" s="12"/>
      <c r="D16" s="48"/>
      <c r="E16" s="48"/>
      <c r="F16" s="48"/>
      <c r="G16" s="48"/>
      <c r="H16" s="48"/>
      <c r="I16" s="48"/>
      <c r="J16" s="48"/>
      <c r="K16" s="48"/>
      <c r="L16" s="47" t="str">
        <f>IF(OR(D16="",K16=""),"",IF(OR(AND(G16&lt;&gt;"",H16&lt;&gt;"",MOD(IF(ISNUMBER(H16),IF(H16&lt;1,H16,IF(H16&lt;100,TIME(H16,0,0),TIME(INT(H16/100),MOD(H16,100),0))),0)-IF(ISNUMBER(D16),IF(D16&lt;1,D16,IF(D16&lt;100,TIME(D16,0,0),TIME(INT(D16/100),MOD(D16,100),0))),0),1)&lt;=MOD(IF(ISNUMBER(G16),IF(G16&lt;1,G16,IF(G16&lt;100,TIME(G16,0,0),TIME(INT(G16/100),MOD(G16,100),0))),0)-IF(ISNUMBER(D16),IF(D16&lt;1,D16,IF(D16&lt;100,TIME(D16,0,0),TIME(INT(D16/100),MOD(D16,100),0))),0),1)),AND(E16&lt;&gt;"",F16&lt;&gt;"",MOD(IF(ISNUMBER(F16),IF(F16&lt;1,F16,IF(F16&lt;100,TIME(F16,0,0),TIME(INT(F16/100),MOD(F16,100),0))),0)-IF(ISNUMBER(D16),IF(D16&lt;1,D16,IF(D16&lt;100,TIME(D16,0,0),TIME(INT(D16/100),MOD(D16,100),0))),0),1)&lt;=MOD(IF(ISNUMBER(E16),IF(E16&lt;1,E16,IF(E16&lt;100,TIME(E16,0,0),TIME(INT(E16/100),MOD(E16,100),0))),0)-IF(ISNUMBER(D16),IF(D16&lt;1,D16,IF(D16&lt;100,TIME(D16,0,0),TIME(INT(D16/100),MOD(D16,100),0))),0),1)),AND(I16&lt;&gt;"",J16&lt;&gt;"",MOD(IF(ISNUMBER(J16),IF(J16&lt;1,J16,IF(J16&lt;100,TIME(J16,0,0),TIME(INT(J16/100),MOD(J16,100),0))),0)-IF(ISNUMBER(D16),IF(D16&lt;1,D16,IF(D16&lt;100,TIME(D16,0,0),TIME(INT(D16/100),MOD(D16,100),0))),0),1)&lt;=MOD(IF(ISNUMBER(I16),IF(I16&lt;1,I16,IF(I16&lt;100,TIME(I16,0,0),TIME(INT(I16/100),MOD(I16,100),0))),0)-IF(ISNUMBER(D16),IF(D16&lt;1,D16,IF(D16&lt;100,TIME(D16,0,0),TIME(INT(D16/100),MOD(D16,100),0))),0),1)),AND(H16&lt;&gt;"",MOD(IF(ISNUMBER(H16),IF(H16&lt;1,H16,IF(H16&lt;100,TIME(H16,0,0),TIME(INT(H16/100),MOD(H16,100),0))),0)-IF(ISNUMBER(D16),IF(D16&lt;1,D16,IF(D16&lt;100,TIME(D16,0,0),TIME(INT(D16/100),MOD(D16,100),0))),0),1)&gt;MOD(IF(ISNUMBER(K16),IF(K16&lt;1,K16,IF(K16&lt;100,TIME(K16,0,0),TIME(INT(K16/100),MOD(K16,100),0))),0)-IF(ISNUMBER(D16),IF(D16&lt;1,D16,IF(D16&lt;100,TIME(D16,0,0),TIME(INT(D16/100),MOD(D16,100),0))),0),1)),AND(F16&lt;&gt;"",MOD(IF(ISNUMBER(F16),IF(F16&lt;1,F16,IF(F16&lt;100,TIME(F16,0,0),TIME(INT(F16/100),MOD(F16,100),0))),0)-IF(ISNUMBER(D16),IF(D16&lt;1,D16,IF(D16&lt;100,TIME(D16,0,0),TIME(INT(D16/100),MOD(D16,100),0))),0),1)&gt;MOD(IF(ISNUMBER(K16),IF(K16&lt;1,K16,IF(K16&lt;100,TIME(K16,0,0),TIME(INT(K16/100),MOD(K16,100),0))),0)-IF(ISNUMBER(D16),IF(D16&lt;1,D16,IF(D16&lt;100,TIME(D16,0,0),TIME(INT(D16/100),MOD(D16,100),0))),0),1)),AND(J16&lt;&gt;"",MOD(IF(ISNUMBER(J16),IF(J16&lt;1,J16,IF(J16&lt;100,TIME(J16,0,0),TIME(INT(J16/100),MOD(J16,100),0))),0)-IF(ISNUMBER(D16),IF(D16&lt;1,D16,IF(D16&lt;100,TIME(D16,0,0),TIME(INT(D16/100),MOD(D16,100),0))),0),1)&gt;MOD(IF(ISNUMBER(K16),IF(K16&lt;1,K16,IF(K16&lt;100,TIME(K16,0,0),TIME(INT(K16/100),MOD(K16,100),0))),0)-IF(ISNUMBER(D16),IF(D16&lt;1,D16,IF(D16&lt;100,TIME(D16,0,0),TIME(INT(D16/100),MOD(D16,100),0))),0),1))),"CHECK",ROUND((MOD(IF(ISNUMBER(K16),IF(K16&lt;1,K16,IF(K16&lt;100,TIME(K16,0,0),TIME(INT(K16/100),MOD(K16,100),0))),0)-IF(ISNUMBER(D16),IF(D16&lt;1,D16,IF(D16&lt;100,TIME(D16,0,0),TIME(INT(D16/100),MOD(D16,100),0))),0),1)-IF(AND(G16&lt;&gt;"",H16&lt;&gt;""),MOD(IF(ISNUMBER(H16),IF(H16&lt;1,H16,IF(H16&lt;100,TIME(H16,0,0),TIME(INT(H16/100),MOD(H16,100),0))),0)-IF(ISNUMBER(D16),IF(D16&lt;1,D16,IF(D16&lt;100,TIME(D16,0,0),TIME(INT(D16/100),MOD(D16,100),0))),0),1)-MOD(IF(ISNUMBER(G16),IF(G16&lt;1,G16,IF(G16&lt;100,TIME(G16,0,0),TIME(INT(G16/100),MOD(G16,100),0))),0)-IF(ISNUMBER(D16),IF(D16&lt;1,D16,IF(D16&lt;100,TIME(D16,0,0),TIME(INT(D16/100),MOD(D16,100),0))),0),1),0))*24-IF(AND(E16&lt;&gt;"",F16&lt;&gt;""),MAX(0,(MOD(IF(ISNUMBER(F16),IF(F16&lt;1,F16,IF(F16&lt;100,TIME(F16,0,0),TIME(INT(F16/100),MOD(F16,100),0))),0)-IF(ISNUMBER(D16),IF(D16&lt;1,D16,IF(D16&lt;100,TIME(D16,0,0),TIME(INT(D16/100),MOD(D16,100),0))),0),1)-MOD(IF(ISNUMBER(E16),IF(E16&lt;1,E16,IF(E16&lt;100,TIME(E16,0,0),TIME(INT(E16/100),MOD(E16,100),0))),0)-IF(ISNUMBER(D16),IF(D16&lt;1,D16,IF(D16&lt;100,TIME(D16,0,0),TIME(INT(D16/100),MOD(D16,100),0))),0),1))*24-10/60),0)-IF(AND(I16&lt;&gt;"",J16&lt;&gt;""),MAX(0,(MOD(IF(ISNUMBER(J16),IF(J16&lt;1,J16,IF(J16&lt;100,TIME(J16,0,0),TIME(INT(J16/100),MOD(J16,100),0))),0)-IF(ISNUMBER(D16),IF(D16&lt;1,D16,IF(D16&lt;100,TIME(D16,0,0),TIME(INT(D16/100),MOD(D16,100),0))),0),1)-MOD(IF(ISNUMBER(I16),IF(I16&lt;1,I16,IF(I16&lt;100,TIME(I16,0,0),TIME(INT(I16/100),MOD(I16,100),0))),0)-IF(ISNUMBER(D16),IF(D16&lt;1,D16,IF(D16&lt;100,TIME(D16,0,0),TIME(INT(D16/100),MOD(D16,100),0))),0),1))*24-10/60),0),2)))</f>
        <v/>
      </c>
      <c r="M16" s="37"/>
    </row>
    <row r="17" spans="1:13" ht="15" customHeight="1">
      <c r="A17" s="25" t="s">
        <v>22</v>
      </c>
      <c r="B17" s="49"/>
      <c r="C17" s="50"/>
      <c r="D17" s="13"/>
      <c r="E17" s="13"/>
      <c r="F17" s="13"/>
      <c r="G17" s="13"/>
      <c r="H17" s="13"/>
      <c r="I17" s="13"/>
      <c r="J17" s="13"/>
      <c r="K17" s="13"/>
      <c r="L17" s="51" t="str">
        <f>SUM(L10:L16)</f>
        <v/>
      </c>
      <c r="M17" s="37"/>
    </row>
    <row r="18" spans="1:13" ht="6" customHeight="1">
      <c r="A18" s="52"/>
      <c r="M18" s="37"/>
    </row>
    <row r="19" spans="1:13" ht="15" customHeight="1">
      <c r="A19" s="29" t="s">
        <v>23</v>
      </c>
      <c r="B19" s="53"/>
      <c r="C19" s="53"/>
      <c r="D19" s="53"/>
      <c r="E19" s="53"/>
      <c r="F19" s="53"/>
      <c r="G19" s="53"/>
      <c r="H19" s="54"/>
      <c r="M19" s="37"/>
    </row>
    <row r="20" spans="1:13" ht="15" customHeight="1">
      <c r="A20" s="28" t="s">
        <v>24</v>
      </c>
      <c r="B20" s="53"/>
      <c r="C20" s="53"/>
      <c r="D20" s="53"/>
      <c r="E20" s="54"/>
      <c r="F20" s="21" t="str">
        <f>L17</f>
        <v/>
      </c>
      <c r="G20" s="55"/>
      <c r="H20" s="56"/>
      <c r="M20" s="37"/>
    </row>
    <row r="21" spans="1:13" ht="15" customHeight="1">
      <c r="A21" s="26" t="s">
        <v>25</v>
      </c>
      <c r="B21" s="53"/>
      <c r="C21" s="53"/>
      <c r="D21" s="53"/>
      <c r="E21" s="54"/>
      <c r="F21" s="30" t="str">
        <f>MIN(40,L17)</f>
        <v/>
      </c>
      <c r="G21" s="55"/>
      <c r="H21" s="56"/>
      <c r="M21" s="37"/>
    </row>
    <row r="22" spans="1:13" ht="15" customHeight="1">
      <c r="A22" s="28" t="s">
        <v>26</v>
      </c>
      <c r="B22" s="53"/>
      <c r="C22" s="53"/>
      <c r="D22" s="53"/>
      <c r="E22" s="54"/>
      <c r="F22" s="21" t="str">
        <f>MAX(0,L17-40)</f>
        <v/>
      </c>
      <c r="G22" s="55"/>
      <c r="H22" s="56"/>
      <c r="M22" s="37"/>
    </row>
    <row r="23" spans="1:13" ht="15" customHeight="1">
      <c r="A23" s="26" t="s">
        <v>27</v>
      </c>
      <c r="B23" s="53"/>
      <c r="C23" s="53"/>
      <c r="D23" s="53"/>
      <c r="E23" s="54"/>
      <c r="F23" s="23"/>
      <c r="G23" s="57"/>
      <c r="H23" s="58"/>
      <c r="M23" s="37"/>
    </row>
    <row r="24" spans="1:13" ht="15" customHeight="1">
      <c r="A24" s="59"/>
      <c r="B24" s="39"/>
      <c r="C24" s="39"/>
      <c r="D24" s="39"/>
      <c r="E24" s="39"/>
      <c r="F24" s="6"/>
      <c r="M24" s="37"/>
    </row>
    <row r="25" spans="1:13" ht="6" customHeight="1">
      <c r="A25" s="3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7"/>
    </row>
    <row r="26" spans="1:13" ht="15" customHeight="1">
      <c r="A26" s="60" t="s">
        <v>28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7"/>
    </row>
    <row r="27" spans="1:13" ht="15" customHeight="1">
      <c r="A27" s="61" t="s">
        <v>29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7"/>
    </row>
    <row r="28" spans="1:13">
      <c r="A28" s="3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7"/>
    </row>
    <row r="29" spans="1:13" ht="15" customHeight="1">
      <c r="A29" s="40" t="s">
        <v>30</v>
      </c>
      <c r="B29" s="39"/>
      <c r="C29" s="39"/>
      <c r="D29" s="62"/>
      <c r="E29" s="63"/>
      <c r="F29" s="63"/>
      <c r="G29" s="63"/>
      <c r="H29" s="63"/>
      <c r="I29" s="24" t="s">
        <v>31</v>
      </c>
      <c r="J29" s="39"/>
      <c r="K29" s="62"/>
      <c r="L29" s="63"/>
      <c r="M29" s="37"/>
    </row>
    <row r="30" spans="1:13" ht="15" customHeight="1">
      <c r="A30" s="40" t="s">
        <v>32</v>
      </c>
      <c r="B30" s="39"/>
      <c r="C30" s="39"/>
      <c r="D30" s="62"/>
      <c r="E30" s="63"/>
      <c r="F30" s="63"/>
      <c r="G30" s="63"/>
      <c r="H30" s="63"/>
      <c r="I30" s="22" t="s">
        <v>31</v>
      </c>
      <c r="J30" s="43"/>
      <c r="K30" s="62"/>
      <c r="L30" s="63"/>
      <c r="M30" s="37"/>
    </row>
    <row r="31" spans="1:13">
      <c r="A31" s="36"/>
      <c r="B31" s="1"/>
      <c r="C31" s="1"/>
      <c r="D31" s="5"/>
      <c r="E31" s="1"/>
      <c r="F31" s="1"/>
      <c r="G31" s="1"/>
      <c r="H31" s="1"/>
      <c r="I31" s="1"/>
      <c r="J31" s="1"/>
      <c r="K31" s="5"/>
      <c r="L31" s="1"/>
      <c r="M31" s="37"/>
    </row>
    <row r="32" spans="1:13" ht="15" customHeight="1">
      <c r="A32" s="60" t="s">
        <v>33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7"/>
    </row>
    <row r="33" spans="1:14" ht="15" customHeight="1">
      <c r="A33" s="61" t="s">
        <v>34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7"/>
    </row>
    <row r="34" spans="1:14">
      <c r="A34" s="64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7"/>
    </row>
    <row r="35" spans="1:14">
      <c r="A35" s="3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7"/>
    </row>
    <row r="36" spans="1:14" ht="15" customHeight="1">
      <c r="A36" s="40" t="s">
        <v>30</v>
      </c>
      <c r="B36" s="39"/>
      <c r="C36" s="39"/>
      <c r="D36" s="62"/>
      <c r="E36" s="63"/>
      <c r="F36" s="63"/>
      <c r="G36" s="63"/>
      <c r="H36" s="63"/>
      <c r="I36" s="65" t="s">
        <v>31</v>
      </c>
      <c r="J36" s="39"/>
      <c r="K36" s="62"/>
      <c r="L36" s="63"/>
      <c r="M36" s="37"/>
    </row>
    <row r="37" spans="1:14">
      <c r="A37" s="10"/>
      <c r="B37" s="14"/>
      <c r="C37" s="14"/>
      <c r="D37" s="66"/>
      <c r="E37" s="14"/>
      <c r="F37" s="14"/>
      <c r="G37" s="14"/>
      <c r="H37" s="14"/>
      <c r="I37" s="14"/>
      <c r="J37" s="14"/>
      <c r="K37" s="66"/>
      <c r="L37" s="14"/>
      <c r="M37" s="15"/>
      <c r="N37" s="67"/>
    </row>
    <row r="38" spans="1:14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7"/>
      <c r="N38" s="67"/>
    </row>
    <row r="39" spans="1:14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7"/>
      <c r="N39" s="67"/>
    </row>
    <row r="40" spans="1:14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</sheetData>
  <sheetProtection password="EEBC" sheet="1" formatCells="0"/>
  <mergeCells count="41">
    <mergeCell ref="K36:L36"/>
    <mergeCell ref="D29:H29"/>
    <mergeCell ref="H5:I5"/>
    <mergeCell ref="A19:H19"/>
    <mergeCell ref="A26:L26"/>
    <mergeCell ref="F21:H21"/>
    <mergeCell ref="K29:L29"/>
    <mergeCell ref="K5:L5"/>
    <mergeCell ref="K6:L6"/>
    <mergeCell ref="A1:L1"/>
    <mergeCell ref="A5:B5"/>
    <mergeCell ref="A23:E23"/>
    <mergeCell ref="A30:C30"/>
    <mergeCell ref="A33:L34"/>
    <mergeCell ref="A22:E22"/>
    <mergeCell ref="K30:L30"/>
    <mergeCell ref="I29:J29"/>
    <mergeCell ref="D30:H30"/>
    <mergeCell ref="A20:E20"/>
    <mergeCell ref="A27:L27"/>
    <mergeCell ref="A3:F3"/>
    <mergeCell ref="G3:J3"/>
    <mergeCell ref="C5:D5"/>
    <mergeCell ref="F6:G6"/>
    <mergeCell ref="I36:J36"/>
    <mergeCell ref="D36:H36"/>
    <mergeCell ref="A6:B6"/>
    <mergeCell ref="F23:H23"/>
    <mergeCell ref="H6:I6"/>
    <mergeCell ref="F22:H22"/>
    <mergeCell ref="F5:G5"/>
    <mergeCell ref="A17:C17"/>
    <mergeCell ref="A29:C29"/>
    <mergeCell ref="A21:E21"/>
    <mergeCell ref="A36:C36"/>
    <mergeCell ref="F20:H20"/>
    <mergeCell ref="I30:J30"/>
    <mergeCell ref="C6:D6"/>
    <mergeCell ref="A24:E24"/>
    <mergeCell ref="A32:L32"/>
    <mergeCell ref="A8:L8"/>
  </mergeCells>
  <conditionalFormatting sqref="G10:H16">
    <cfRule type="expression" dxfId="2" priority="2">
      <formula>AND($G10&lt;&gt;"",OR(AND($H10&lt;&gt;"",MOD(IF(ISNUMBER($H10),IF($H10&lt;1,$H10,IF($H10&lt;100,TIME($H10,0,0),TIME(INT($H10/100),MOD($H10,100),0))),0)-IF(ISNUMBER($D10),IF($D10&lt;1,$D10,IF($D10&lt;100,TIME($D10,0,0),TIME(INT($D10/100),MOD($D10,100),0))),0),1)&lt;=MOD(IF(ISNUMBER($G10),IF($G10&lt;1,$G10,IF($G10&lt;100,TIME($G10,0,0),TIME(INT($G10/100),MOD($G10,100),0))),0)-IF(ISNUMBER($D10),IF($D10&lt;1,$D10,IF($D10&lt;100,TIME($D10,0,0),TIME(INT($D10/100),MOD($D10,100),0))),0),1)),AND($H10&lt;&gt;"",MOD(IF(ISNUMBER($H10),IF($H10&lt;1,$H10,IF($H10&lt;100,TIME($H10,0,0),TIME(INT($H10/100),MOD($H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,MOD(IF(ISNUMBER($G10),IF($G10&lt;1,$G10,IF($G10&lt;100,TIME($G10,0,0),TIME(INT($G10/100),MOD($G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)</formula>
    </cfRule>
  </conditionalFormatting>
  <conditionalFormatting sqref="E10:F16">
    <cfRule type="expression" dxfId="1" priority="3">
      <formula>AND($E10&lt;&gt;"",OR(AND($F10&lt;&gt;"",MOD(IF(ISNUMBER($F10),IF($F10&lt;1,$F10,IF($F10&lt;100,TIME($F10,0,0),TIME(INT($F10/100),MOD($F10,100),0))),0)-IF(ISNUMBER($D10),IF($D10&lt;1,$D10,IF($D10&lt;100,TIME($D10,0,0),TIME(INT($D10/100),MOD($D10,100),0))),0),1)&lt;=MOD(IF(ISNUMBER($E10),IF($E10&lt;1,$E10,IF($E10&lt;100,TIME($E10,0,0),TIME(INT($E10/100),MOD($E10,100),0))),0)-IF(ISNUMBER($D10),IF($D10&lt;1,$D10,IF($D10&lt;100,TIME($D10,0,0),TIME(INT($D10/100),MOD($D10,100),0))),0),1)),AND($F10&lt;&gt;"",MOD(IF(ISNUMBER($F10),IF($F10&lt;1,$F10,IF($F10&lt;100,TIME($F10,0,0),TIME(INT($F10/100),MOD($F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,MOD(IF(ISNUMBER($E10),IF($E10&lt;1,$E10,IF($E10&lt;100,TIME($E10,0,0),TIME(INT($E10/100),MOD($E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)</formula>
    </cfRule>
  </conditionalFormatting>
  <conditionalFormatting sqref="I10:J16">
    <cfRule type="expression" dxfId="0" priority="4">
      <formula>AND($I10&lt;&gt;"",OR(AND($J10&lt;&gt;"",MOD(IF(ISNUMBER($J10),IF($J10&lt;1,$J10,IF($J10&lt;100,TIME($J10,0,0),TIME(INT($J10/100),MOD($J10,100),0))),0)-IF(ISNUMBER($D10),IF($D10&lt;1,$D10,IF($D10&lt;100,TIME($D10,0,0),TIME(INT($D10/100),MOD($D10,100),0))),0),1)&lt;=MOD(IF(ISNUMBER($I10),IF($I10&lt;1,$I10,IF($I10&lt;100,TIME($I10,0,0),TIME(INT($I10/100),MOD($I10,100),0))),0)-IF(ISNUMBER($D10),IF($D10&lt;1,$D10,IF($D10&lt;100,TIME($D10,0,0),TIME(INT($D10/100),MOD($D10,100),0))),0),1)),AND($J10&lt;&gt;"",MOD(IF(ISNUMBER($J10),IF($J10&lt;1,$J10,IF($J10&lt;100,TIME($J10,0,0),TIME(INT($J10/100),MOD($J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,MOD(IF(ISNUMBER($I10),IF($I10&lt;1,$I10,IF($I10&lt;100,TIME($I10,0,0),TIME(INT($I10/100),MOD($I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)</formula>
    </cfRule>
  </conditionalFormatting>
  <dataValidations count="4">
    <dataValidation type="custom" allowBlank="1" showInputMessage="1" showErrorMessage="1" errorTitle="Week Start must be a Sunday" error="Type the Sunday your week began, for example 11-Oct-2026. Week End fills in by itself as the Saturday." promptTitle="Week Start" prompt="The Sunday your week began. Week End fills in by itself." sqref="C6" xr:uid="{00000000-0002-0000-0000-000000000000}">
      <formula1>AND(ISNUMBER(C6),WEEKDAY(C6)=1)</formula1>
    </dataValidation>
    <dataValidation type="custom" allowBlank="1" showInputMessage="1" showErrorMessage="1" errorTitle="Employee ID" error="Type your ID as one letter and three numbers, for example A013. HR gave you this ID." promptTitle="Employee ID" prompt="Your AmeriCloud employee ID from HR, for example A013." sqref="H5" xr:uid="{00000000-0002-0000-0000-000001000000}">
      <formula1>AND(LEN(H5)=4,OR(LEFT(H5,1)="A"),ISNUMBER(--MID(H5,2,1)),ISNUMBER(--MID(H5,3,1)),ISNUMBER(--MID(H5,4,1)))</formula1>
    </dataValidation>
    <dataValidation type="list" allowBlank="1" showInputMessage="1" showErrorMessage="1" errorTitle="Pick a department" error="Choose your department from the list." promptTitle="Department" prompt="The department you were in at the end of this week." sqref="K5" xr:uid="{00000000-0002-0000-0000-000002000000}">
      <formula1>"BBU Swaps,Construction,Design,Integration,Optimization,RF Data Collection,Overhead"</formula1>
    </dataValidation>
    <dataValidation type="custom" allowBlank="1" showInputMessage="1" showErrorMessage="1" errorTitle="That is not a valid code" error="Type one of three things. A project code: three capital letters then nine digits, as your manager gives it. Or INT for non-billable time. Or a code from the Code List tab: an LBR code, or BDV1070 for RFP work. Nothing else is accepted." promptTitle="Project Code" prompt="Three capital letters then nine digits, from your manager. Or a code from the Code List tab, such as LBR1030 or BDV1070 for RFP work." sqref="C10:C16" xr:uid="{00000000-0002-0000-0000-000003000000}">
      <formula1>OR(C10="",C10="INT",COUNTIF(CODELIST,C10)&gt;0,AND(LEN(C10)=12,EXACT(C10,UPPER(C10)),ISNUMBER(VALUE(MID(C10,4,9))),ISERROR(VALUE(LEFT(C10,3)))))</formula1>
    </dataValidation>
  </dataValidations>
  <printOptions horizontalCentered="1"/>
  <pageMargins left="0.2" right="0.2" top="0.2" bottom="0.2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2:G59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11" customWidth="1"/>
    <col min="2" max="2" width="30" customWidth="1"/>
    <col min="3" max="3" width="46" customWidth="1"/>
  </cols>
  <sheetData>
    <row r="2" spans="1:3" ht="21.95" customHeight="1">
      <c r="A2" s="69" t="s">
        <v>35</v>
      </c>
      <c r="B2" s="39"/>
      <c r="C2" s="39"/>
    </row>
    <row r="3" spans="1:3" ht="2.1" customHeight="1">
      <c r="A3" s="16"/>
      <c r="B3" s="16"/>
      <c r="C3" s="16"/>
    </row>
    <row r="4" spans="1:3">
      <c r="A4" s="70" t="s">
        <v>36</v>
      </c>
      <c r="B4" s="39"/>
      <c r="C4" s="39"/>
    </row>
    <row r="5" spans="1:3" ht="42" customHeight="1">
      <c r="A5" s="34" t="s">
        <v>37</v>
      </c>
      <c r="B5" s="39"/>
      <c r="C5" s="39"/>
    </row>
    <row r="7" spans="1:3">
      <c r="A7" s="71" t="s">
        <v>38</v>
      </c>
      <c r="B7" s="71" t="s">
        <v>39</v>
      </c>
      <c r="C7" s="71" t="s">
        <v>40</v>
      </c>
    </row>
    <row r="8" spans="1:3">
      <c r="A8" s="17" t="s">
        <v>41</v>
      </c>
      <c r="B8" s="18" t="s">
        <v>42</v>
      </c>
      <c r="C8" s="18" t="s">
        <v>43</v>
      </c>
    </row>
    <row r="9" spans="1:3">
      <c r="A9" s="19" t="s">
        <v>44</v>
      </c>
      <c r="B9" s="20" t="s">
        <v>45</v>
      </c>
      <c r="C9" s="20" t="s">
        <v>46</v>
      </c>
    </row>
    <row r="10" spans="1:3">
      <c r="A10" s="17" t="s">
        <v>47</v>
      </c>
      <c r="B10" s="18" t="s">
        <v>48</v>
      </c>
      <c r="C10" s="18" t="s">
        <v>49</v>
      </c>
    </row>
    <row r="11" spans="1:3">
      <c r="A11" s="19" t="s">
        <v>50</v>
      </c>
      <c r="B11" s="20" t="s">
        <v>51</v>
      </c>
      <c r="C11" s="20" t="s">
        <v>52</v>
      </c>
    </row>
    <row r="12" spans="1:3">
      <c r="A12" s="17" t="s">
        <v>53</v>
      </c>
      <c r="B12" s="18" t="s">
        <v>54</v>
      </c>
      <c r="C12" s="18" t="s">
        <v>55</v>
      </c>
    </row>
    <row r="13" spans="1:3">
      <c r="A13" s="19" t="s">
        <v>56</v>
      </c>
      <c r="B13" s="20" t="s">
        <v>57</v>
      </c>
      <c r="C13" s="20" t="s">
        <v>58</v>
      </c>
    </row>
    <row r="14" spans="1:3">
      <c r="A14" s="17" t="s">
        <v>59</v>
      </c>
      <c r="B14" s="18" t="s">
        <v>60</v>
      </c>
      <c r="C14" s="18" t="s">
        <v>61</v>
      </c>
    </row>
    <row r="15" spans="1:3">
      <c r="A15" s="19" t="s">
        <v>62</v>
      </c>
      <c r="B15" s="20" t="s">
        <v>63</v>
      </c>
      <c r="C15" s="20" t="s">
        <v>64</v>
      </c>
    </row>
    <row r="16" spans="1:3">
      <c r="A16" s="17" t="s">
        <v>65</v>
      </c>
      <c r="B16" s="18" t="s">
        <v>66</v>
      </c>
      <c r="C16" s="18" t="s">
        <v>67</v>
      </c>
    </row>
    <row r="17" spans="1:7">
      <c r="A17" s="19" t="s">
        <v>68</v>
      </c>
      <c r="B17" s="20" t="s">
        <v>69</v>
      </c>
      <c r="C17" s="20" t="s">
        <v>70</v>
      </c>
      <c r="D17" s="72"/>
      <c r="E17" s="72"/>
      <c r="F17" s="72"/>
      <c r="G17" s="72"/>
    </row>
    <row r="18" spans="1:7">
      <c r="A18" s="72"/>
      <c r="B18" s="72"/>
      <c r="C18" s="72"/>
      <c r="D18" s="72"/>
      <c r="E18" s="72"/>
      <c r="F18" s="72"/>
      <c r="G18" s="72"/>
    </row>
    <row r="19" spans="1:7">
      <c r="A19" s="72"/>
      <c r="B19" s="72"/>
      <c r="C19" s="72"/>
      <c r="D19" s="72"/>
      <c r="E19" s="72"/>
      <c r="F19" s="72"/>
      <c r="G19" s="72"/>
    </row>
    <row r="20" spans="1:7">
      <c r="A20" s="72"/>
      <c r="B20" s="72"/>
      <c r="C20" s="72"/>
      <c r="D20" s="72"/>
      <c r="E20" s="72"/>
      <c r="F20" s="72"/>
      <c r="G20" s="72"/>
    </row>
    <row r="21" spans="1:7">
      <c r="A21" s="72"/>
      <c r="B21" s="72"/>
      <c r="C21" s="72"/>
      <c r="D21" s="72"/>
      <c r="E21" s="72"/>
      <c r="F21" s="72"/>
      <c r="G21" s="72"/>
    </row>
    <row r="22" spans="1:7">
      <c r="A22" s="72"/>
      <c r="B22" s="72"/>
      <c r="C22" s="72"/>
      <c r="D22" s="72"/>
      <c r="E22" s="72"/>
      <c r="F22" s="72"/>
      <c r="G22" s="72"/>
    </row>
    <row r="23" spans="1:7">
      <c r="A23" s="72"/>
      <c r="B23" s="72"/>
      <c r="C23" s="72"/>
      <c r="D23" s="72"/>
      <c r="E23" s="72"/>
      <c r="F23" s="72"/>
      <c r="G23" s="72"/>
    </row>
    <row r="24" spans="1:7">
      <c r="A24" s="72"/>
      <c r="B24" s="72"/>
      <c r="C24" s="72"/>
      <c r="D24" s="72"/>
      <c r="E24" s="72"/>
      <c r="F24" s="72"/>
      <c r="G24" s="72"/>
    </row>
    <row r="25" spans="1:7">
      <c r="A25" s="72"/>
      <c r="B25" s="72"/>
      <c r="C25" s="72"/>
      <c r="D25" s="72"/>
      <c r="E25" s="72"/>
      <c r="F25" s="72"/>
      <c r="G25" s="72"/>
    </row>
    <row r="26" spans="1:7">
      <c r="A26" s="72"/>
      <c r="B26" s="72"/>
      <c r="C26" s="72"/>
      <c r="D26" s="72"/>
      <c r="E26" s="72"/>
      <c r="F26" s="72"/>
      <c r="G26" s="72"/>
    </row>
    <row r="27" spans="1:7">
      <c r="A27" s="72"/>
      <c r="B27" s="72"/>
      <c r="C27" s="72"/>
      <c r="D27" s="72"/>
      <c r="E27" s="72"/>
      <c r="F27" s="72"/>
      <c r="G27" s="72"/>
    </row>
    <row r="28" spans="1:7">
      <c r="A28" s="72"/>
      <c r="B28" s="72"/>
      <c r="C28" s="72"/>
      <c r="D28" s="72"/>
      <c r="E28" s="72"/>
      <c r="F28" s="72"/>
      <c r="G28" s="72"/>
    </row>
    <row r="29" spans="1:7">
      <c r="A29" s="72"/>
      <c r="B29" s="72"/>
      <c r="C29" s="72"/>
      <c r="D29" s="72"/>
      <c r="E29" s="72"/>
      <c r="F29" s="72"/>
      <c r="G29" s="72"/>
    </row>
    <row r="30" spans="1:7">
      <c r="A30" s="72"/>
      <c r="B30" s="72"/>
      <c r="C30" s="72"/>
      <c r="D30" s="72"/>
      <c r="E30" s="72"/>
      <c r="F30" s="72"/>
      <c r="G30" s="72"/>
    </row>
    <row r="31" spans="1:7">
      <c r="A31" s="72"/>
      <c r="B31" s="72"/>
      <c r="C31" s="72"/>
      <c r="D31" s="72"/>
      <c r="E31" s="72"/>
      <c r="F31" s="72"/>
      <c r="G31" s="72"/>
    </row>
    <row r="32" spans="1:7">
      <c r="A32" s="72"/>
      <c r="B32" s="72"/>
      <c r="C32" s="72"/>
      <c r="D32" s="72"/>
      <c r="E32" s="72"/>
      <c r="F32" s="72"/>
      <c r="G32" s="72"/>
    </row>
    <row r="33" spans="1:7">
      <c r="A33" s="72"/>
      <c r="B33" s="72"/>
      <c r="C33" s="72"/>
      <c r="D33" s="72"/>
      <c r="E33" s="72"/>
      <c r="F33" s="72"/>
      <c r="G33" s="72"/>
    </row>
    <row r="34" spans="1:7">
      <c r="A34" s="72"/>
      <c r="B34" s="72"/>
      <c r="C34" s="72"/>
      <c r="D34" s="72"/>
      <c r="E34" s="72"/>
      <c r="F34" s="72"/>
      <c r="G34" s="72"/>
    </row>
    <row r="35" spans="1:7">
      <c r="A35" s="72"/>
      <c r="B35" s="72"/>
      <c r="C35" s="72"/>
      <c r="D35" s="72"/>
      <c r="E35" s="72"/>
      <c r="F35" s="72"/>
      <c r="G35" s="72"/>
    </row>
    <row r="36" spans="1:7">
      <c r="A36" s="72"/>
      <c r="B36" s="72"/>
      <c r="C36" s="72"/>
      <c r="D36" s="72"/>
      <c r="E36" s="72"/>
      <c r="F36" s="72"/>
      <c r="G36" s="72"/>
    </row>
    <row r="37" spans="1:7">
      <c r="A37" s="72"/>
      <c r="B37" s="72"/>
      <c r="C37" s="72"/>
      <c r="D37" s="72"/>
      <c r="E37" s="72"/>
      <c r="F37" s="72"/>
      <c r="G37" s="72"/>
    </row>
    <row r="38" spans="1:7">
      <c r="A38" s="72"/>
      <c r="B38" s="72"/>
      <c r="C38" s="72"/>
      <c r="D38" s="72"/>
      <c r="E38" s="72"/>
      <c r="F38" s="72"/>
      <c r="G38" s="72"/>
    </row>
    <row r="39" spans="1:7">
      <c r="A39" s="72"/>
      <c r="B39" s="72"/>
      <c r="C39" s="72"/>
      <c r="D39" s="72"/>
      <c r="E39" s="72"/>
      <c r="F39" s="72"/>
      <c r="G39" s="72"/>
    </row>
    <row r="40" spans="1:7">
      <c r="A40" s="72"/>
      <c r="B40" s="72"/>
      <c r="C40" s="72"/>
      <c r="D40" s="72"/>
      <c r="E40" s="72"/>
      <c r="F40" s="72"/>
      <c r="G40" s="72"/>
    </row>
    <row r="41" spans="1:7">
      <c r="A41" s="72"/>
      <c r="B41" s="72"/>
      <c r="C41" s="72"/>
      <c r="D41" s="72"/>
      <c r="E41" s="72"/>
      <c r="F41" s="72"/>
      <c r="G41" s="72"/>
    </row>
    <row r="42" spans="1:7">
      <c r="A42" s="72"/>
      <c r="B42" s="72"/>
      <c r="C42" s="72"/>
      <c r="D42" s="72"/>
      <c r="E42" s="72"/>
      <c r="F42" s="72"/>
      <c r="G42" s="72"/>
    </row>
    <row r="43" spans="1:7">
      <c r="A43" s="72"/>
      <c r="B43" s="72"/>
      <c r="C43" s="72"/>
      <c r="D43" s="72"/>
      <c r="E43" s="72"/>
      <c r="F43" s="72"/>
      <c r="G43" s="72"/>
    </row>
    <row r="44" spans="1:7">
      <c r="A44" s="72"/>
      <c r="B44" s="72"/>
      <c r="C44" s="72"/>
      <c r="D44" s="72"/>
      <c r="E44" s="72"/>
      <c r="F44" s="72"/>
      <c r="G44" s="72"/>
    </row>
    <row r="45" spans="1:7">
      <c r="A45" s="72"/>
      <c r="B45" s="72"/>
      <c r="C45" s="72"/>
      <c r="D45" s="72"/>
      <c r="E45" s="72"/>
      <c r="F45" s="72"/>
      <c r="G45" s="72"/>
    </row>
    <row r="46" spans="1:7">
      <c r="A46" s="72"/>
      <c r="B46" s="72"/>
      <c r="C46" s="72"/>
      <c r="D46" s="72"/>
      <c r="E46" s="72"/>
      <c r="F46" s="72"/>
      <c r="G46" s="72"/>
    </row>
    <row r="47" spans="1:7">
      <c r="A47" s="72"/>
      <c r="B47" s="72"/>
      <c r="C47" s="72"/>
      <c r="D47" s="72"/>
      <c r="E47" s="72"/>
      <c r="F47" s="72"/>
      <c r="G47" s="72"/>
    </row>
    <row r="48" spans="1:7">
      <c r="A48" s="72"/>
      <c r="B48" s="72"/>
      <c r="C48" s="72"/>
      <c r="D48" s="72"/>
      <c r="E48" s="72"/>
      <c r="F48" s="72"/>
      <c r="G48" s="72"/>
    </row>
    <row r="49" spans="1:7">
      <c r="A49" s="72"/>
      <c r="B49" s="72"/>
      <c r="C49" s="72"/>
      <c r="D49" s="72"/>
      <c r="E49" s="72"/>
      <c r="F49" s="72"/>
      <c r="G49" s="72"/>
    </row>
    <row r="50" spans="1:7">
      <c r="A50" s="72"/>
      <c r="B50" s="72"/>
      <c r="C50" s="72"/>
      <c r="D50" s="72"/>
      <c r="E50" s="72"/>
      <c r="F50" s="72"/>
      <c r="G50" s="72"/>
    </row>
    <row r="51" spans="1:7">
      <c r="A51" s="72"/>
      <c r="B51" s="72"/>
      <c r="C51" s="72"/>
      <c r="D51" s="72"/>
      <c r="E51" s="72"/>
      <c r="F51" s="72"/>
      <c r="G51" s="72"/>
    </row>
    <row r="52" spans="1:7">
      <c r="A52" s="72"/>
      <c r="B52" s="72"/>
      <c r="C52" s="72"/>
      <c r="D52" s="72"/>
      <c r="E52" s="72"/>
      <c r="F52" s="72"/>
      <c r="G52" s="72"/>
    </row>
    <row r="53" spans="1:7">
      <c r="A53" s="72"/>
      <c r="B53" s="72"/>
      <c r="C53" s="72"/>
      <c r="D53" s="72"/>
      <c r="E53" s="72"/>
      <c r="F53" s="72"/>
      <c r="G53" s="72"/>
    </row>
    <row r="54" spans="1:7">
      <c r="A54" s="72"/>
      <c r="B54" s="72"/>
      <c r="C54" s="72"/>
      <c r="D54" s="72"/>
      <c r="E54" s="72"/>
      <c r="F54" s="72"/>
      <c r="G54" s="72"/>
    </row>
    <row r="55" spans="1:7">
      <c r="A55" s="72"/>
      <c r="B55" s="72"/>
      <c r="C55" s="72"/>
      <c r="D55" s="72"/>
      <c r="E55" s="72"/>
      <c r="F55" s="72"/>
      <c r="G55" s="72"/>
    </row>
    <row r="56" spans="1:7">
      <c r="A56" s="72"/>
      <c r="B56" s="72"/>
      <c r="C56" s="72"/>
      <c r="D56" s="72"/>
      <c r="E56" s="72"/>
      <c r="F56" s="72"/>
      <c r="G56" s="72"/>
    </row>
    <row r="57" spans="1:7">
      <c r="A57" s="72"/>
      <c r="B57" s="72"/>
      <c r="C57" s="72"/>
      <c r="D57" s="72"/>
      <c r="E57" s="72"/>
      <c r="F57" s="72"/>
      <c r="G57" s="72"/>
    </row>
    <row r="58" spans="1:7">
      <c r="A58" s="72"/>
      <c r="B58" s="72"/>
      <c r="C58" s="72"/>
      <c r="D58" s="72"/>
      <c r="E58" s="72"/>
      <c r="F58" s="72"/>
      <c r="G58" s="72"/>
    </row>
    <row r="59" spans="1:7">
      <c r="A59" s="72"/>
      <c r="B59" s="72"/>
      <c r="C59" s="72"/>
      <c r="D59" s="72"/>
      <c r="E59" s="72"/>
      <c r="F59" s="72"/>
      <c r="G59" s="72"/>
    </row>
  </sheetData>
  <sheetProtection sheet="1" formatCells="0" insertRows="0" deleteRows="0" selectLockedCells="1" selectUnlockedCells="1"/>
  <autoFilter ref="A7:C17" xr:uid="{00000000-0009-0000-0000-000001000000}"/>
  <mergeCells count="3">
    <mergeCell ref="A5:C5"/>
    <mergeCell ref="A4:C4"/>
    <mergeCell ref="A2:C2"/>
  </mergeCell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Naseer</cp:lastModifiedBy>
  <cp:revision>0</cp:revision>
  <dcterms:created xsi:type="dcterms:W3CDTF">2026-06-24T20:35:22Z</dcterms:created>
  <dcterms:modified xsi:type="dcterms:W3CDTF">2026-10-05T18:38:35Z</dcterms:modified>
  <cp:category/>
  <cp:contentStatus/>
</cp:coreProperties>
</file>