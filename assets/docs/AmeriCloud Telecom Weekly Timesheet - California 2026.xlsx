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izzak\Downloads\"/>
    </mc:Choice>
  </mc:AlternateContent>
  <xr:revisionPtr revIDLastSave="0" documentId="13_ncr:1_{B8A38E40-F714-481F-B93A-BDC4FF95DE3E}" xr6:coauthVersionLast="47" xr6:coauthVersionMax="47" xr10:uidLastSave="{00000000-0000-0000-0000-000000000000}"/>
  <bookViews>
    <workbookView xWindow="-108" yWindow="-108" windowWidth="23256" windowHeight="12456" xr2:uid="{00000000-000D-0000-FFFF-FFFF00000000}"/>
  </bookViews>
  <sheets>
    <sheet name="Timesheet" sheetId="1" r:id="rId1"/>
    <sheet name="Code List" sheetId="2" r:id="rId2"/>
  </sheets>
  <definedNames>
    <definedName name="_xlnm._FilterDatabase" localSheetId="1" hidden="1">'Code List'!$A$7:$C$16</definedName>
    <definedName name="CODELIST">OFFSET('Code List'!$A$8,0,0,COUNTA('Code List'!$A$8:$A$60),1)</definedName>
    <definedName name="_xlnm.Print_Area" localSheetId="1">'Code List'!$A$1:$C$16</definedName>
    <definedName name="_xlnm.Print_Area" localSheetId="0">Timesheet!$A$1:$V$41</definedName>
    <definedName name="_xlnm.Print_Titles" localSheetId="1">'Code List'!$7:$7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6" i="1" l="1"/>
  <c r="S16" i="1"/>
  <c r="M16" i="1"/>
  <c r="R16" i="1" s="1"/>
  <c r="A16" i="1"/>
  <c r="B16" i="1" s="1"/>
  <c r="M15" i="1"/>
  <c r="T15" i="1" s="1"/>
  <c r="B15" i="1"/>
  <c r="A15" i="1"/>
  <c r="M14" i="1"/>
  <c r="P14" i="1" s="1"/>
  <c r="A14" i="1"/>
  <c r="B14" i="1" s="1"/>
  <c r="S13" i="1"/>
  <c r="R13" i="1"/>
  <c r="P13" i="1"/>
  <c r="O13" i="1"/>
  <c r="N13" i="1"/>
  <c r="M13" i="1"/>
  <c r="T13" i="1" s="1"/>
  <c r="A13" i="1"/>
  <c r="B13" i="1" s="1"/>
  <c r="T12" i="1"/>
  <c r="S12" i="1"/>
  <c r="R12" i="1"/>
  <c r="P12" i="1"/>
  <c r="O12" i="1"/>
  <c r="N12" i="1"/>
  <c r="M12" i="1"/>
  <c r="A12" i="1"/>
  <c r="B12" i="1" s="1"/>
  <c r="T11" i="1"/>
  <c r="S11" i="1"/>
  <c r="R11" i="1"/>
  <c r="P11" i="1"/>
  <c r="M11" i="1"/>
  <c r="O11" i="1" s="1"/>
  <c r="A11" i="1"/>
  <c r="B11" i="1" s="1"/>
  <c r="T10" i="1"/>
  <c r="S10" i="1"/>
  <c r="R10" i="1"/>
  <c r="M10" i="1"/>
  <c r="P10" i="1" s="1"/>
  <c r="A10" i="1"/>
  <c r="B10" i="1" s="1"/>
  <c r="H6" i="1"/>
  <c r="T17" i="1" l="1"/>
  <c r="F27" i="1" s="1"/>
  <c r="S14" i="1"/>
  <c r="S17" i="1" s="1"/>
  <c r="R15" i="1"/>
  <c r="P16" i="1"/>
  <c r="O15" i="1"/>
  <c r="N16" i="1"/>
  <c r="R14" i="1"/>
  <c r="R17" i="1" s="1"/>
  <c r="O16" i="1"/>
  <c r="N10" i="1"/>
  <c r="O10" i="1"/>
  <c r="N11" i="1"/>
  <c r="T14" i="1"/>
  <c r="S15" i="1"/>
  <c r="Q16" i="1"/>
  <c r="N14" i="1"/>
  <c r="O14" i="1"/>
  <c r="N15" i="1"/>
  <c r="M17" i="1"/>
  <c r="F20" i="1" s="1"/>
  <c r="P15" i="1"/>
  <c r="P17" i="1" s="1"/>
  <c r="F25" i="1" s="1"/>
  <c r="O17" i="1" l="1"/>
  <c r="N17" i="1"/>
  <c r="F24" i="1" l="1"/>
  <c r="F22" i="1"/>
  <c r="F23" i="1"/>
  <c r="F21" i="1"/>
</calcChain>
</file>

<file path=xl/sharedStrings.xml><?xml version="1.0" encoding="utf-8"?>
<sst xmlns="http://schemas.openxmlformats.org/spreadsheetml/2006/main" count="86" uniqueCount="83">
  <si>
    <t>AmeriCloud Telecom Weekly Timesheet - California</t>
  </si>
  <si>
    <t>AmeriCloud Telecom Solutions, LLC     |     Non-Exempt Week     |     CALIFORNIA</t>
  </si>
  <si>
    <t>Employee Name:</t>
  </si>
  <si>
    <t>Employee ID:</t>
  </si>
  <si>
    <t>Work State:</t>
  </si>
  <si>
    <t>CA</t>
  </si>
  <si>
    <t>Manager:</t>
  </si>
  <si>
    <t>Week Start (Sun):</t>
  </si>
  <si>
    <t>Week End (Sat):</t>
  </si>
  <si>
    <t>Submit to:</t>
  </si>
  <si>
    <t>Timesheet@americloudtelecom.com</t>
  </si>
  <si>
    <t>ONE LINE PER DAY. In Project Code put the code from the tracker, three capital letters then nine digits, for example ERI202607135. For a non-billable day put the LBR code instead, from the Non-Billable Time Codes tab. Enter times in 24-hour format: 0900 = 9:00 AM, 1300 = 1:00 PM, 1730 = 5:30 PM, 2200 = 10:00 PM. Meal time is unpaid; rest breaks are paid up to 10 minutes each and any extra is deducted. Hours Worked shows CHECK and the meal/rest cells turn red if a break is out of order or outside the shift. Submit by Monday 12:00 PM for the prior week.</t>
  </si>
  <si>
    <t>Date</t>
  </si>
  <si>
    <t>Day</t>
  </si>
  <si>
    <t>Project Code</t>
  </si>
  <si>
    <t>Shift Start</t>
  </si>
  <si>
    <t>Rest 1 Start</t>
  </si>
  <si>
    <t>Rest 1 End</t>
  </si>
  <si>
    <t>Meal Start</t>
  </si>
  <si>
    <t>Meal End</t>
  </si>
  <si>
    <t>Meal Waiver (&lt;=6h)? Y/N</t>
  </si>
  <si>
    <t>Rest 2 Start</t>
  </si>
  <si>
    <t>Rest 2 End</t>
  </si>
  <si>
    <t>Shift End</t>
  </si>
  <si>
    <t>Hours Worked</t>
  </si>
  <si>
    <t>Reg</t>
  </si>
  <si>
    <t>OT 1.5x</t>
  </si>
  <si>
    <t>OT 2.0x</t>
  </si>
  <si>
    <t>7th Day (auto)</t>
  </si>
  <si>
    <t>Missed Meal Hr</t>
  </si>
  <si>
    <t>Missed Rest Hr</t>
  </si>
  <si>
    <t>Premium Hrs</t>
  </si>
  <si>
    <t>Notes / Reason</t>
  </si>
  <si>
    <t>WEEKLY TOTAL</t>
  </si>
  <si>
    <t>WEEKLY SUMMARY  (auto-calculated)</t>
  </si>
  <si>
    <t>Total Hours Worked</t>
  </si>
  <si>
    <t>Regular Hours (max 40/wk)</t>
  </si>
  <si>
    <t>Overtime 1.5x (daily 8-12)</t>
  </si>
  <si>
    <t>Weekly Overtime 1.5x (reg &gt;40)</t>
  </si>
  <si>
    <t>Total Overtime 1.5x</t>
  </si>
  <si>
    <t>Overtime 2.0x (&gt;12/day; 7th-day &gt;8)</t>
  </si>
  <si>
    <t>PTO / Sick / Holiday Hours (enter)</t>
  </si>
  <si>
    <t>Missed-Break Premium Hours (Sec 226.7)</t>
  </si>
  <si>
    <t>EMPLOYEE ATTESTATION</t>
  </si>
  <si>
    <t>I certify that this timesheet accurately reflects all hours I worked and all meal and rest periods I took, waived, or missed. I took every rest and meal break shown, free of duty and uninterrupted; I noted in the Notes column any meal that was interrupted or worked through. On any day I marked Meal Waiver = Y, my shift was 6 hours or less and I voluntarily chose to waive my meal period. I was not pressured to under-report hours or over-report breaks.</t>
  </si>
  <si>
    <t>Employee Signature:</t>
  </si>
  <si>
    <t>Date:</t>
  </si>
  <si>
    <t>Supervisor Signature:</t>
  </si>
  <si>
    <t>VOLUNTARY MEAL / REST BREAK WAIVER  (complete ONLY if a break was voluntarily skipped)</t>
  </si>
  <si>
    <t>I confirm that I was provided the opportunity to take all required meal and rest breaks but voluntarily chose not to take one or more of them on the dates above. In California, this also documents waiver of the first meal period on a shift of 6 hours or less, or the second meal period on a shift of 12 hours or less. This form is not to be used if a break was not provided by the company.</t>
  </si>
  <si>
    <t>Non-Billable Time Codes</t>
  </si>
  <si>
    <t>AmeriCloud Telecom Solutions, LLC   |   Confidential</t>
  </si>
  <si>
    <t>These nine codes are for time you do not bill to a customer. On such a day, type the LBR code into the Project Code column on the Timesheet tab. On a normal day, type the project code your manager gave you. Do not type a service code. Expenses go on RAMP, not here.</t>
  </si>
  <si>
    <t>Code</t>
  </si>
  <si>
    <t>What it is</t>
  </si>
  <si>
    <t>When to use it</t>
  </si>
  <si>
    <t>LBR1010</t>
  </si>
  <si>
    <t>Idle / Bench Time</t>
  </si>
  <si>
    <t>Available, unassigned, no active project</t>
  </si>
  <si>
    <t>LBR1020</t>
  </si>
  <si>
    <t>Paid Time Off (PTO)</t>
  </si>
  <si>
    <t>Vacation and personal PTO</t>
  </si>
  <si>
    <t>LBR1030</t>
  </si>
  <si>
    <t>Holiday</t>
  </si>
  <si>
    <t>Company-observed holiday</t>
  </si>
  <si>
    <t>LBR1040</t>
  </si>
  <si>
    <t>Sick / Safe Time</t>
  </si>
  <si>
    <t>Sick or protected safe time</t>
  </si>
  <si>
    <t>LBR1050</t>
  </si>
  <si>
    <t>Bereavement / Jury Duty</t>
  </si>
  <si>
    <t>Bereavement, jury, witness leave</t>
  </si>
  <si>
    <t>LBR1060</t>
  </si>
  <si>
    <t>Training and Certification</t>
  </si>
  <si>
    <t>Time in training or certification</t>
  </si>
  <si>
    <t>LBR1070</t>
  </si>
  <si>
    <t>Non-Billable Travel Time</t>
  </si>
  <si>
    <t>Travel hours not chargeable to a customer. Travel we DO bill is SVC2000.</t>
  </si>
  <si>
    <t>LBR1080</t>
  </si>
  <si>
    <t>Administrative / Internal</t>
  </si>
  <si>
    <t>Internal meetings, admin, timesheets</t>
  </si>
  <si>
    <t>LBR1090</t>
  </si>
  <si>
    <t>Safety / Stand-Down</t>
  </si>
  <si>
    <t>Safety stand-downs, toolbox talks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</si>
</sst>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lt;1]hh:mm;[&lt;100]00&quot;:00&quot;;00\:00"/>
  </numFmts>
  <fonts count="19" x14ac:knownFonts="1">
    <font>
      <sz val="11"/>
      <color theme="1"/>
      <name val="Calibri"/>
      <family val="2"/>
      <charset val="1"/>
    </font>
    <font>
      <b/>
      <sz val="16"/>
      <color rgb="FF1F3864"/>
      <name val="Calibri Light"/>
      <charset val="1"/>
    </font>
    <font>
      <sz val="11"/>
      <name val="Cambria"/>
      <charset val="1"/>
    </font>
    <font>
      <sz val="10"/>
      <color rgb="FF595959"/>
      <name val="Calibri"/>
      <charset val="1"/>
    </font>
    <font>
      <b/>
      <sz val="9"/>
      <color rgb="FF1F3864"/>
      <name val="Calibri"/>
      <charset val="1"/>
    </font>
    <font>
      <sz val="9"/>
      <color rgb="FF000000"/>
      <name val="Calibri"/>
      <charset val="1"/>
    </font>
    <font>
      <sz val="8"/>
      <color rgb="FF595959"/>
      <name val="Calibri"/>
      <charset val="1"/>
    </font>
    <font>
      <b/>
      <sz val="8"/>
      <color rgb="FFFFFFFF"/>
      <name val="Calibri"/>
      <charset val="1"/>
    </font>
    <font>
      <sz val="9"/>
      <name val="Calibri"/>
      <charset val="1"/>
    </font>
    <font>
      <b/>
      <sz val="9"/>
      <name val="Calibri"/>
      <charset val="1"/>
    </font>
    <font>
      <b/>
      <sz val="10"/>
      <color rgb="FFFFFFFF"/>
      <name val="Calibri"/>
      <charset val="1"/>
    </font>
    <font>
      <sz val="8"/>
      <color rgb="FF000000"/>
      <name val="Calibri"/>
      <charset val="1"/>
    </font>
    <font>
      <b/>
      <sz val="16"/>
      <color rgb="FF1F3864"/>
      <name val="Calibri Light"/>
    </font>
    <font>
      <i/>
      <sz val="10"/>
      <color rgb="FF595959"/>
      <name val="Calibri"/>
    </font>
    <font>
      <b/>
      <sz val="9"/>
      <color rgb="FFD51926"/>
      <name val="Calibri"/>
    </font>
    <font>
      <b/>
      <sz val="10"/>
      <color rgb="FFFFFFFF"/>
      <name val="Calibri"/>
    </font>
    <font>
      <b/>
      <sz val="10"/>
      <color rgb="FF1F3864"/>
      <name val="Calibri"/>
    </font>
    <font>
      <sz val="10"/>
      <color rgb="FF000000"/>
      <name val="Calibri"/>
    </font>
    <font>
      <sz val="11"/>
      <name val="Calibri"/>
    </font>
  </fonts>
  <fills count="10">
    <fill>
      <patternFill patternType="none"/>
    </fill>
    <fill>
      <patternFill patternType="gray125"/>
    </fill>
    <fill>
      <patternFill patternType="solid">
        <fgColor rgb="FF0F2A5E"/>
        <bgColor rgb="FF1F3864"/>
      </patternFill>
    </fill>
    <fill>
      <patternFill patternType="solid">
        <fgColor rgb="FFF4F6FA"/>
        <bgColor rgb="FFFFFFFF"/>
      </patternFill>
    </fill>
    <fill>
      <patternFill patternType="solid">
        <fgColor rgb="FFFFFFFF"/>
        <bgColor rgb="FFF4F6FA"/>
      </patternFill>
    </fill>
    <fill>
      <patternFill patternType="solid">
        <fgColor rgb="FFFCE4D6"/>
        <bgColor rgb="FFF4F6FA"/>
      </patternFill>
    </fill>
    <fill>
      <patternFill patternType="solid">
        <fgColor rgb="FFD51926"/>
      </patternFill>
    </fill>
    <fill>
      <patternFill patternType="solid">
        <fgColor rgb="FFFBE5D6"/>
      </patternFill>
    </fill>
    <fill>
      <patternFill patternType="solid">
        <fgColor rgb="FF152848"/>
      </patternFill>
    </fill>
    <fill>
      <patternFill patternType="solid">
        <fgColor rgb="FFF2F2F2"/>
      </patternFill>
    </fill>
  </fills>
  <borders count="26">
    <border>
      <left/>
      <right/>
      <top/>
      <bottom/>
      <diagonal/>
    </border>
    <border>
      <left/>
      <right/>
      <top/>
      <bottom style="thin">
        <color rgb="FFBFBFBF"/>
      </bottom>
      <diagonal/>
    </border>
    <border>
      <left style="thin">
        <color rgb="FFBFBFBF"/>
      </left>
      <right style="thin">
        <color rgb="FFBFBFBF"/>
      </right>
      <top style="thin">
        <color rgb="FFBFBFBF"/>
      </top>
      <bottom style="thin">
        <color rgb="FFBFBFBF"/>
      </bottom>
      <diagonal/>
    </border>
    <border>
      <left style="thin">
        <color rgb="FF8EA9CE"/>
      </left>
      <right style="thin">
        <color rgb="FF8EA9CE"/>
      </right>
      <top style="thin">
        <color rgb="FF8EA9CE"/>
      </top>
      <bottom style="thin">
        <color rgb="FF8EA9CE"/>
      </bottom>
      <diagonal/>
    </border>
    <border>
      <left/>
      <right/>
      <top/>
      <bottom style="thin">
        <color auto="1"/>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8EA9CE"/>
      </top>
      <bottom style="thin">
        <color rgb="FF8EA9CE"/>
      </bottom>
      <diagonal/>
    </border>
    <border>
      <left/>
      <right style="thin">
        <color rgb="FF8EA9CE"/>
      </right>
      <top style="thin">
        <color rgb="FF8EA9CE"/>
      </top>
      <bottom style="thin">
        <color rgb="FF8EA9CE"/>
      </bottom>
      <diagonal/>
    </border>
    <border>
      <left/>
      <right/>
      <top/>
      <bottom/>
      <diagonal/>
    </border>
    <border>
      <left style="medium">
        <color rgb="FF1F3864"/>
      </left>
      <right/>
      <top/>
      <bottom/>
      <diagonal/>
    </border>
    <border>
      <left/>
      <right style="medium">
        <color rgb="FF1F3864"/>
      </right>
      <top/>
      <bottom/>
      <diagonal/>
    </border>
    <border>
      <left style="medium">
        <color rgb="FF1F3864"/>
      </left>
      <right style="thin">
        <color rgb="FFBFBFBF"/>
      </right>
      <top style="thin">
        <color rgb="FFBFBFBF"/>
      </top>
      <bottom style="thin">
        <color rgb="FFBFBFBF"/>
      </bottom>
      <diagonal/>
    </border>
    <border>
      <left style="medium">
        <color rgb="FF1F3864"/>
      </left>
      <right style="thin">
        <color rgb="FF8EA9CE"/>
      </right>
      <top style="thin">
        <color rgb="FF8EA9CE"/>
      </top>
      <bottom style="thin">
        <color rgb="FF8EA9CE"/>
      </bottom>
      <diagonal/>
    </border>
    <border>
      <left/>
      <right style="medium">
        <color rgb="FF1F3864"/>
      </right>
      <top style="medium">
        <color rgb="FF1F3864"/>
      </top>
      <bottom/>
      <diagonal/>
    </border>
    <border>
      <left style="medium">
        <color rgb="FF1F3864"/>
      </left>
      <right/>
      <top/>
      <bottom/>
      <diagonal/>
    </border>
    <border>
      <left/>
      <right/>
      <top style="medium">
        <color rgb="FF1F3864"/>
      </top>
      <bottom/>
      <diagonal/>
    </border>
    <border>
      <left/>
      <right/>
      <top/>
      <bottom/>
      <diagonal/>
    </border>
    <border>
      <left/>
      <right/>
      <top/>
      <bottom style="thin">
        <color auto="1"/>
      </bottom>
      <diagonal/>
    </border>
    <border>
      <left style="medium">
        <color rgb="FF1F3864"/>
      </left>
      <right/>
      <top/>
      <bottom style="medium">
        <color rgb="FF1F3864"/>
      </bottom>
      <diagonal/>
    </border>
    <border>
      <left/>
      <right/>
      <top/>
      <bottom style="medium">
        <color rgb="FF1F3864"/>
      </bottom>
      <diagonal/>
    </border>
    <border>
      <left/>
      <right style="medium">
        <color rgb="FF1F3864"/>
      </right>
      <top/>
      <bottom style="medium">
        <color rgb="FF1F3864"/>
      </bottom>
      <diagonal/>
    </border>
    <border>
      <left style="medium">
        <color rgb="FF1F3864"/>
      </left>
      <right/>
      <top style="medium">
        <color rgb="FF1F3864"/>
      </top>
      <bottom/>
      <diagonal/>
    </border>
    <border>
      <left/>
      <right/>
      <top/>
      <bottom style="medium">
        <color rgb="FF1F3864"/>
      </bottom>
      <diagonal/>
    </border>
    <border>
      <left style="thin">
        <color rgb="FFBFBFBF"/>
      </left>
      <right style="thin">
        <color rgb="FF808080"/>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88">
    <xf numFmtId="0" fontId="0" fillId="0" borderId="0" xfId="0"/>
    <xf numFmtId="0" fontId="2" fillId="0" borderId="0" xfId="0" applyFont="1"/>
    <xf numFmtId="0" fontId="2" fillId="0" borderId="0" xfId="0" applyFont="1" applyProtection="1">
      <protection locked="0"/>
    </xf>
    <xf numFmtId="164" fontId="2" fillId="0" borderId="0" xfId="0" applyNumberFormat="1" applyFont="1" applyProtection="1">
      <protection locked="0"/>
    </xf>
    <xf numFmtId="164" fontId="2" fillId="0" borderId="0" xfId="0" applyNumberFormat="1" applyFont="1" applyProtection="1">
      <protection hidden="1"/>
    </xf>
    <xf numFmtId="0" fontId="7" fillId="2" borderId="2" xfId="0" applyFont="1" applyFill="1" applyBorder="1" applyAlignment="1">
      <alignment horizontal="center" vertical="center" wrapText="1"/>
    </xf>
    <xf numFmtId="0" fontId="8" fillId="3" borderId="2" xfId="0" applyFont="1" applyFill="1" applyBorder="1" applyAlignment="1" applyProtection="1">
      <alignment horizontal="center"/>
      <protection hidden="1"/>
    </xf>
    <xf numFmtId="0" fontId="8" fillId="3" borderId="2" xfId="0" applyFont="1" applyFill="1" applyBorder="1" applyAlignment="1" applyProtection="1">
      <alignment horizontal="center"/>
      <protection locked="0"/>
    </xf>
    <xf numFmtId="165" fontId="8" fillId="3" borderId="2" xfId="0" applyNumberFormat="1" applyFont="1" applyFill="1" applyBorder="1" applyAlignment="1" applyProtection="1">
      <alignment horizontal="center"/>
      <protection locked="0"/>
    </xf>
    <xf numFmtId="2" fontId="8" fillId="3" borderId="2" xfId="0" applyNumberFormat="1" applyFont="1" applyFill="1" applyBorder="1" applyAlignment="1" applyProtection="1">
      <alignment horizontal="center"/>
      <protection hidden="1"/>
    </xf>
    <xf numFmtId="0" fontId="8" fillId="3" borderId="2" xfId="0" applyFont="1" applyFill="1" applyBorder="1" applyAlignment="1">
      <alignment horizontal="center"/>
    </xf>
    <xf numFmtId="0" fontId="8" fillId="4" borderId="2" xfId="0" applyFont="1" applyFill="1" applyBorder="1" applyAlignment="1" applyProtection="1">
      <alignment horizontal="center"/>
      <protection hidden="1"/>
    </xf>
    <xf numFmtId="0" fontId="8" fillId="4" borderId="2" xfId="0" applyFont="1" applyFill="1" applyBorder="1" applyAlignment="1" applyProtection="1">
      <alignment horizontal="center"/>
      <protection locked="0"/>
    </xf>
    <xf numFmtId="165" fontId="8" fillId="4" borderId="2" xfId="0" applyNumberFormat="1" applyFont="1" applyFill="1" applyBorder="1" applyAlignment="1" applyProtection="1">
      <alignment horizontal="center"/>
      <protection locked="0"/>
    </xf>
    <xf numFmtId="2" fontId="8" fillId="4" borderId="2" xfId="0" applyNumberFormat="1" applyFont="1" applyFill="1" applyBorder="1" applyAlignment="1" applyProtection="1">
      <alignment horizontal="center"/>
      <protection hidden="1"/>
    </xf>
    <xf numFmtId="0" fontId="8" fillId="4" borderId="2" xfId="0" applyFont="1" applyFill="1" applyBorder="1" applyAlignment="1">
      <alignment horizontal="center"/>
    </xf>
    <xf numFmtId="2" fontId="9" fillId="5" borderId="2" xfId="0" applyNumberFormat="1" applyFont="1" applyFill="1" applyBorder="1" applyProtection="1">
      <protection hidden="1"/>
    </xf>
    <xf numFmtId="0" fontId="0" fillId="5" borderId="2" xfId="0" applyFill="1" applyBorder="1"/>
    <xf numFmtId="0" fontId="2" fillId="0" borderId="9" xfId="0" applyFont="1" applyBorder="1"/>
    <xf numFmtId="0" fontId="2" fillId="0" borderId="9" xfId="0" applyFont="1" applyBorder="1" applyProtection="1">
      <protection locked="0"/>
    </xf>
    <xf numFmtId="0" fontId="0" fillId="0" borderId="9" xfId="0" applyBorder="1"/>
    <xf numFmtId="0" fontId="0" fillId="0" borderId="14" xfId="0" applyBorder="1"/>
    <xf numFmtId="0" fontId="2" fillId="0" borderId="10" xfId="0" applyFont="1" applyBorder="1"/>
    <xf numFmtId="0" fontId="0" fillId="0" borderId="11" xfId="0" applyBorder="1"/>
    <xf numFmtId="0" fontId="7" fillId="2" borderId="12" xfId="0" applyFont="1" applyFill="1" applyBorder="1" applyAlignment="1">
      <alignment horizontal="center" vertical="center" wrapText="1"/>
    </xf>
    <xf numFmtId="164" fontId="8" fillId="3" borderId="12" xfId="0" applyNumberFormat="1" applyFont="1" applyFill="1" applyBorder="1" applyAlignment="1" applyProtection="1">
      <alignment horizontal="center"/>
      <protection hidden="1"/>
    </xf>
    <xf numFmtId="164" fontId="8" fillId="4" borderId="12" xfId="0" applyNumberFormat="1" applyFont="1" applyFill="1" applyBorder="1" applyAlignment="1" applyProtection="1">
      <alignment horizontal="center"/>
      <protection hidden="1"/>
    </xf>
    <xf numFmtId="0" fontId="0" fillId="0" borderId="10" xfId="0" applyBorder="1"/>
    <xf numFmtId="0" fontId="0" fillId="0" borderId="17" xfId="0" applyBorder="1"/>
    <xf numFmtId="0" fontId="2" fillId="0" borderId="17" xfId="0" applyFont="1" applyBorder="1"/>
    <xf numFmtId="0" fontId="2" fillId="0" borderId="19" xfId="0" applyFont="1" applyBorder="1"/>
    <xf numFmtId="0" fontId="2" fillId="0" borderId="20" xfId="0" applyFont="1" applyBorder="1"/>
    <xf numFmtId="0" fontId="2" fillId="0" borderId="20" xfId="0" applyFont="1" applyBorder="1" applyProtection="1">
      <protection locked="0"/>
    </xf>
    <xf numFmtId="0" fontId="7" fillId="2" borderId="24" xfId="0" applyFont="1" applyFill="1" applyBorder="1" applyAlignment="1">
      <alignment horizontal="center" vertical="center" wrapText="1"/>
    </xf>
    <xf numFmtId="0" fontId="8" fillId="3" borderId="24" xfId="0" applyFont="1" applyFill="1" applyBorder="1" applyAlignment="1" applyProtection="1">
      <alignment horizontal="center"/>
      <protection locked="0"/>
    </xf>
    <xf numFmtId="0" fontId="8" fillId="4" borderId="24" xfId="0" applyFont="1" applyFill="1" applyBorder="1" applyAlignment="1" applyProtection="1">
      <alignment horizontal="center"/>
      <protection locked="0"/>
    </xf>
    <xf numFmtId="0" fontId="0" fillId="5" borderId="24" xfId="0" applyFill="1" applyBorder="1"/>
    <xf numFmtId="0" fontId="2" fillId="0" borderId="23" xfId="0" applyFont="1" applyBorder="1"/>
    <xf numFmtId="0" fontId="0" fillId="0" borderId="21" xfId="0" applyBorder="1"/>
    <xf numFmtId="0" fontId="0" fillId="6" borderId="0" xfId="0" applyFill="1"/>
    <xf numFmtId="0" fontId="15" fillId="8" borderId="25" xfId="0" applyFont="1" applyFill="1" applyBorder="1" applyAlignment="1">
      <alignment horizontal="center" vertical="center" wrapText="1"/>
    </xf>
    <xf numFmtId="0" fontId="16" fillId="0" borderId="25" xfId="0" applyFont="1" applyBorder="1" applyAlignment="1">
      <alignment vertical="top" wrapText="1"/>
    </xf>
    <xf numFmtId="0" fontId="17" fillId="0" borderId="25" xfId="0" applyFont="1" applyBorder="1" applyAlignment="1">
      <alignment vertical="top" wrapText="1"/>
    </xf>
    <xf numFmtId="0" fontId="16" fillId="9" borderId="25" xfId="0" applyFont="1" applyFill="1" applyBorder="1" applyAlignment="1">
      <alignment vertical="top" wrapText="1"/>
    </xf>
    <xf numFmtId="0" fontId="17" fillId="9" borderId="25" xfId="0" applyFont="1" applyFill="1" applyBorder="1" applyAlignment="1">
      <alignment vertical="top" wrapText="1"/>
    </xf>
    <xf numFmtId="0" fontId="18" fillId="0" borderId="9" xfId="0" applyFont="1" applyBorder="1"/>
    <xf numFmtId="2" fontId="8" fillId="3" borderId="3" xfId="0" applyNumberFormat="1" applyFont="1" applyFill="1" applyBorder="1" applyAlignment="1" applyProtection="1">
      <alignment horizontal="center" vertical="center"/>
      <protection hidden="1"/>
    </xf>
    <xf numFmtId="0" fontId="0" fillId="0" borderId="7" xfId="0" applyBorder="1" applyProtection="1">
      <protection hidden="1"/>
    </xf>
    <xf numFmtId="0" fontId="0" fillId="0" borderId="8" xfId="0" applyBorder="1" applyProtection="1">
      <protection hidden="1"/>
    </xf>
    <xf numFmtId="164" fontId="5" fillId="0" borderId="1" xfId="0" applyNumberFormat="1" applyFont="1" applyBorder="1" applyAlignment="1" applyProtection="1">
      <alignment horizontal="center" vertical="center"/>
      <protection locked="0"/>
    </xf>
    <xf numFmtId="0" fontId="0" fillId="0" borderId="1" xfId="0" applyBorder="1" applyProtection="1">
      <protection locked="0"/>
    </xf>
    <xf numFmtId="0" fontId="4" fillId="0" borderId="0" xfId="0" applyFont="1" applyAlignment="1">
      <alignment horizontal="right" vertical="center"/>
    </xf>
    <xf numFmtId="0" fontId="0" fillId="0" borderId="0" xfId="0"/>
    <xf numFmtId="0" fontId="8" fillId="3" borderId="13" xfId="0" applyFont="1" applyFill="1" applyBorder="1" applyAlignment="1">
      <alignment horizontal="left" vertical="center" indent="1"/>
    </xf>
    <xf numFmtId="0" fontId="0" fillId="0" borderId="7" xfId="0" applyBorder="1"/>
    <xf numFmtId="0" fontId="0" fillId="0" borderId="8" xfId="0" applyBorder="1"/>
    <xf numFmtId="0" fontId="5" fillId="0" borderId="1" xfId="0" applyFont="1" applyBorder="1" applyAlignment="1" applyProtection="1">
      <alignment horizontal="left" vertical="center"/>
      <protection locked="0"/>
    </xf>
    <xf numFmtId="0" fontId="4" fillId="0" borderId="0" xfId="0" applyFont="1" applyAlignment="1" applyProtection="1">
      <alignment horizontal="right" vertical="center"/>
      <protection locked="0"/>
    </xf>
    <xf numFmtId="0" fontId="0" fillId="0" borderId="0" xfId="0" applyProtection="1">
      <protection locked="0"/>
    </xf>
    <xf numFmtId="0" fontId="8" fillId="3" borderId="3" xfId="0" applyFont="1" applyFill="1" applyBorder="1" applyAlignment="1" applyProtection="1">
      <alignment horizontal="center" vertical="center"/>
      <protection locked="0"/>
    </xf>
    <xf numFmtId="0" fontId="0" fillId="0" borderId="7" xfId="0" applyBorder="1" applyProtection="1">
      <protection locked="0"/>
    </xf>
    <xf numFmtId="0" fontId="0" fillId="0" borderId="8" xfId="0" applyBorder="1" applyProtection="1">
      <protection locked="0"/>
    </xf>
    <xf numFmtId="0" fontId="5" fillId="0" borderId="1" xfId="0" applyFont="1" applyBorder="1" applyAlignment="1" applyProtection="1">
      <alignment horizontal="center" vertical="center"/>
      <protection locked="0"/>
    </xf>
    <xf numFmtId="0" fontId="4" fillId="0" borderId="10" xfId="0" applyFont="1" applyBorder="1" applyAlignment="1">
      <alignment horizontal="right" vertical="center"/>
    </xf>
    <xf numFmtId="0" fontId="3" fillId="0" borderId="10" xfId="0" applyFont="1" applyBorder="1" applyAlignment="1">
      <alignment horizontal="left" vertical="center"/>
    </xf>
    <xf numFmtId="2" fontId="8" fillId="4" borderId="3" xfId="0" applyNumberFormat="1" applyFont="1" applyFill="1" applyBorder="1" applyAlignment="1" applyProtection="1">
      <alignment horizontal="center" vertical="center"/>
      <protection hidden="1"/>
    </xf>
    <xf numFmtId="164" fontId="5" fillId="0" borderId="1" xfId="0" applyNumberFormat="1" applyFont="1" applyBorder="1" applyAlignment="1" applyProtection="1">
      <alignment horizontal="center" vertical="center"/>
      <protection hidden="1"/>
    </xf>
    <xf numFmtId="0" fontId="0" fillId="0" borderId="1" xfId="0" applyBorder="1" applyProtection="1">
      <protection hidden="1"/>
    </xf>
    <xf numFmtId="0" fontId="8" fillId="4" borderId="13" xfId="0" applyFont="1" applyFill="1" applyBorder="1" applyAlignment="1">
      <alignment horizontal="left" vertical="center" indent="1"/>
    </xf>
    <xf numFmtId="0" fontId="2" fillId="0" borderId="4" xfId="0" applyFont="1" applyBorder="1" applyProtection="1">
      <protection locked="0"/>
    </xf>
    <xf numFmtId="0" fontId="0" fillId="0" borderId="4" xfId="0" applyBorder="1" applyProtection="1">
      <protection locked="0"/>
    </xf>
    <xf numFmtId="0" fontId="9" fillId="5" borderId="12" xfId="0" applyFont="1" applyFill="1" applyBorder="1" applyAlignment="1">
      <alignment horizontal="right"/>
    </xf>
    <xf numFmtId="0" fontId="0" fillId="0" borderId="5" xfId="0" applyBorder="1"/>
    <xf numFmtId="0" fontId="0" fillId="0" borderId="6" xfId="0" applyBorder="1"/>
    <xf numFmtId="0" fontId="4" fillId="0" borderId="17" xfId="0" applyFont="1" applyBorder="1" applyAlignment="1">
      <alignment horizontal="right" vertical="center"/>
    </xf>
    <xf numFmtId="0" fontId="11" fillId="0" borderId="10" xfId="0" applyFont="1" applyBorder="1" applyAlignment="1">
      <alignment horizontal="left" vertical="top" wrapText="1"/>
    </xf>
    <xf numFmtId="0" fontId="0" fillId="0" borderId="15" xfId="0" applyBorder="1"/>
    <xf numFmtId="0" fontId="6" fillId="0" borderId="10" xfId="0" applyFont="1" applyBorder="1" applyAlignment="1">
      <alignment horizontal="left" vertical="top" wrapText="1"/>
    </xf>
    <xf numFmtId="0" fontId="10" fillId="2" borderId="10" xfId="0" applyFont="1" applyFill="1" applyBorder="1"/>
    <xf numFmtId="0" fontId="5" fillId="0" borderId="17" xfId="0" applyFont="1" applyBorder="1" applyAlignment="1" applyProtection="1">
      <alignment horizontal="left" vertical="center"/>
      <protection locked="0"/>
    </xf>
    <xf numFmtId="0" fontId="2" fillId="0" borderId="18" xfId="0" applyFont="1" applyBorder="1" applyProtection="1">
      <protection locked="0"/>
    </xf>
    <xf numFmtId="0" fontId="10" fillId="2" borderId="13" xfId="0" applyFont="1" applyFill="1" applyBorder="1"/>
    <xf numFmtId="0" fontId="1" fillId="0" borderId="22" xfId="0" applyFont="1" applyBorder="1" applyAlignment="1">
      <alignment horizontal="left" vertical="center"/>
    </xf>
    <xf numFmtId="0" fontId="0" fillId="0" borderId="16" xfId="0" applyBorder="1"/>
    <xf numFmtId="0" fontId="14" fillId="7" borderId="0" xfId="0" applyFont="1" applyFill="1" applyAlignment="1">
      <alignment vertical="center" wrapText="1"/>
    </xf>
    <xf numFmtId="0" fontId="13" fillId="0" borderId="0" xfId="0" applyFont="1"/>
    <xf numFmtId="0" fontId="12" fillId="0" borderId="0" xfId="0" applyFont="1"/>
    <xf numFmtId="0" fontId="0" fillId="0" borderId="0" xfId="0" applyAlignment="1">
      <alignment vertical="top" wrapText="1"/>
    </xf>
  </cellXfs>
  <cellStyles count="1">
    <cellStyle name="Normal"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8EA9CE"/>
      <rgbColor rgb="FF993366"/>
      <rgbColor rgb="FFF4F6F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CE4D6"/>
      <rgbColor rgb="FF99CCFF"/>
      <rgbColor rgb="FFFF99CC"/>
      <rgbColor rgb="FFCC99FF"/>
      <rgbColor rgb="FFFFC7CE"/>
      <rgbColor rgb="FF3366FF"/>
      <rgbColor rgb="FF33CCCC"/>
      <rgbColor rgb="FF99CC00"/>
      <rgbColor rgb="FFFFCC00"/>
      <rgbColor rgb="FFFF9900"/>
      <rgbColor rgb="FFFF6600"/>
      <rgbColor rgb="FF595959"/>
      <rgbColor rgb="FF969696"/>
      <rgbColor rgb="FF0F2A5E"/>
      <rgbColor rgb="FF339966"/>
      <rgbColor rgb="FF003300"/>
      <rgbColor rgb="FF333300"/>
      <rgbColor rgb="FF993300"/>
      <rgbColor rgb="FF993366"/>
      <rgbColor rgb="FF333399"/>
      <rgbColor rgb="FF1F386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17</xdr:col>
      <xdr:colOff>0</xdr:colOff>
      <xdr:row>0</xdr:row>
      <xdr:rowOff>0</xdr:rowOff>
    </xdr:from>
    <xdr:ext cx="1600200" cy="523317"/>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37BC06B-F6DF-4770-A7C3-E65334F035B4}">
  <we:reference id="wa200009404" version="1.0.0.8" store="en-US" storeType="OMEX"/>
  <we:alternateReferences>
    <we:reference id="WA200009404" version="1.0.0.8" store="" storeType="OMEX"/>
  </we:alternateReferences>
  <we:properties>
    <we:property name="claude.fileId" value="&quot;ad70d0b8-2815-40cf-ab00-df57640c81a0&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W46"/>
  <sheetViews>
    <sheetView showGridLines="0" tabSelected="1" zoomScaleNormal="100" workbookViewId="0">
      <selection activeCell="L21" sqref="L21"/>
    </sheetView>
  </sheetViews>
  <sheetFormatPr defaultColWidth="2.44140625" defaultRowHeight="14.4" x14ac:dyDescent="0.3"/>
  <cols>
    <col min="1" max="1" width="11" customWidth="1"/>
    <col min="2" max="2" width="6" customWidth="1"/>
    <col min="3" max="3" width="26" customWidth="1"/>
    <col min="4" max="8" width="10" customWidth="1"/>
    <col min="9" max="9" width="13" customWidth="1"/>
    <col min="10" max="12" width="10" customWidth="1"/>
    <col min="13" max="13" width="12" customWidth="1"/>
    <col min="14" max="14" width="7" customWidth="1"/>
    <col min="15" max="16" width="9" customWidth="1"/>
    <col min="17" max="17" width="11" customWidth="1"/>
    <col min="18" max="19" width="12" customWidth="1"/>
    <col min="20" max="20" width="11" customWidth="1"/>
    <col min="21" max="21" width="30" customWidth="1"/>
    <col min="22" max="22" width="2.44140625" customWidth="1"/>
  </cols>
  <sheetData>
    <row r="1" spans="1:22" ht="15" customHeight="1" x14ac:dyDescent="0.3">
      <c r="A1" s="82" t="s">
        <v>0</v>
      </c>
      <c r="B1" s="83"/>
      <c r="C1" s="83"/>
      <c r="D1" s="83"/>
      <c r="E1" s="83"/>
      <c r="F1" s="83"/>
      <c r="G1" s="83"/>
      <c r="H1" s="83"/>
      <c r="I1" s="83"/>
      <c r="J1" s="83"/>
      <c r="K1" s="83"/>
      <c r="L1" s="83"/>
      <c r="M1" s="83"/>
      <c r="N1" s="83"/>
      <c r="O1" s="83"/>
      <c r="P1" s="83"/>
      <c r="Q1" s="83"/>
      <c r="R1" s="83"/>
      <c r="S1" s="83"/>
      <c r="T1" s="83"/>
      <c r="U1" s="83"/>
      <c r="V1" s="21"/>
    </row>
    <row r="2" spans="1:22" ht="2.25" customHeight="1" x14ac:dyDescent="0.3">
      <c r="A2" s="22"/>
      <c r="B2" s="1"/>
      <c r="C2" s="1"/>
      <c r="D2" s="1"/>
      <c r="E2" s="1"/>
      <c r="F2" s="1"/>
      <c r="G2" s="1"/>
      <c r="H2" s="1"/>
      <c r="I2" s="1"/>
      <c r="J2" s="1"/>
      <c r="K2" s="1"/>
      <c r="L2" s="1"/>
      <c r="M2" s="1"/>
      <c r="N2" s="1"/>
      <c r="O2" s="1"/>
      <c r="P2" s="1"/>
      <c r="Q2" s="1"/>
      <c r="R2" s="1"/>
      <c r="S2" s="1"/>
      <c r="T2" s="1"/>
      <c r="U2" s="29"/>
      <c r="V2" s="23"/>
    </row>
    <row r="3" spans="1:22" ht="15" customHeight="1" x14ac:dyDescent="0.3">
      <c r="A3" s="64" t="s">
        <v>1</v>
      </c>
      <c r="B3" s="52"/>
      <c r="C3" s="52"/>
      <c r="D3" s="52"/>
      <c r="E3" s="52"/>
      <c r="F3" s="52"/>
      <c r="G3" s="52"/>
      <c r="H3" s="52"/>
      <c r="I3" s="52"/>
      <c r="J3" s="52"/>
      <c r="K3" s="52"/>
      <c r="L3" s="52"/>
      <c r="M3" s="52"/>
      <c r="N3" s="52"/>
      <c r="O3" s="52"/>
      <c r="P3" s="52"/>
      <c r="Q3" s="52"/>
      <c r="R3" s="52"/>
      <c r="S3" s="52"/>
      <c r="T3" s="52"/>
      <c r="U3" s="52"/>
      <c r="V3" s="23"/>
    </row>
    <row r="4" spans="1:22" x14ac:dyDescent="0.3">
      <c r="A4" s="22"/>
      <c r="B4" s="1"/>
      <c r="C4" s="1"/>
      <c r="D4" s="1"/>
      <c r="E4" s="1"/>
      <c r="F4" s="1"/>
      <c r="G4" s="1"/>
      <c r="H4" s="1"/>
      <c r="I4" s="1"/>
      <c r="J4" s="1"/>
      <c r="K4" s="1"/>
      <c r="L4" s="1"/>
      <c r="M4" s="1"/>
      <c r="N4" s="1"/>
      <c r="O4" s="1"/>
      <c r="P4" s="1"/>
      <c r="Q4" s="1"/>
      <c r="R4" s="1"/>
      <c r="S4" s="1"/>
      <c r="T4" s="1"/>
      <c r="U4" s="29"/>
      <c r="V4" s="23"/>
    </row>
    <row r="5" spans="1:22" ht="15" customHeight="1" x14ac:dyDescent="0.3">
      <c r="A5" s="63" t="s">
        <v>2</v>
      </c>
      <c r="B5" s="52"/>
      <c r="C5" s="56"/>
      <c r="D5" s="50"/>
      <c r="E5" s="1"/>
      <c r="F5" s="51" t="s">
        <v>3</v>
      </c>
      <c r="G5" s="52"/>
      <c r="H5" s="56"/>
      <c r="I5" s="50"/>
      <c r="J5" s="50"/>
      <c r="K5" s="51" t="s">
        <v>4</v>
      </c>
      <c r="L5" s="52"/>
      <c r="M5" s="62" t="s">
        <v>5</v>
      </c>
      <c r="N5" s="50"/>
      <c r="O5" s="1"/>
      <c r="P5" s="51" t="s">
        <v>6</v>
      </c>
      <c r="Q5" s="52"/>
      <c r="R5" s="56"/>
      <c r="S5" s="50"/>
      <c r="T5" s="50"/>
      <c r="U5" s="28"/>
      <c r="V5" s="23"/>
    </row>
    <row r="6" spans="1:22" ht="15" customHeight="1" x14ac:dyDescent="0.3">
      <c r="A6" s="63" t="s">
        <v>7</v>
      </c>
      <c r="B6" s="52"/>
      <c r="C6" s="49"/>
      <c r="D6" s="50"/>
      <c r="E6" s="1"/>
      <c r="F6" s="51" t="s">
        <v>8</v>
      </c>
      <c r="G6" s="52"/>
      <c r="H6" s="66" t="str">
        <f>IF(C6="","",C6+6)</f>
        <v/>
      </c>
      <c r="I6" s="67"/>
      <c r="J6" s="67"/>
      <c r="K6" s="1"/>
      <c r="L6" s="1"/>
      <c r="M6" s="2"/>
      <c r="N6" s="1"/>
      <c r="O6" s="1"/>
      <c r="P6" s="51" t="s">
        <v>9</v>
      </c>
      <c r="Q6" s="52"/>
      <c r="R6" s="79" t="s">
        <v>10</v>
      </c>
      <c r="S6" s="58"/>
      <c r="T6" s="58"/>
      <c r="U6" s="58"/>
      <c r="V6" s="23"/>
    </row>
    <row r="7" spans="1:22" ht="6" customHeight="1" x14ac:dyDescent="0.3">
      <c r="A7" s="22"/>
      <c r="B7" s="1"/>
      <c r="C7" s="3"/>
      <c r="D7" s="1"/>
      <c r="E7" s="1"/>
      <c r="F7" s="1"/>
      <c r="G7" s="4"/>
      <c r="H7" s="4"/>
      <c r="I7" s="1"/>
      <c r="J7" s="1"/>
      <c r="K7" s="1"/>
      <c r="L7" s="1"/>
      <c r="M7" s="1"/>
      <c r="N7" s="2"/>
      <c r="O7" s="1"/>
      <c r="P7" s="1"/>
      <c r="Q7" s="1"/>
      <c r="R7" s="1"/>
      <c r="S7" s="1"/>
      <c r="T7" s="1"/>
      <c r="U7" s="29"/>
      <c r="V7" s="23"/>
    </row>
    <row r="8" spans="1:22" ht="30" customHeight="1" x14ac:dyDescent="0.3">
      <c r="A8" s="77" t="s">
        <v>11</v>
      </c>
      <c r="B8" s="87"/>
      <c r="C8" s="87"/>
      <c r="D8" s="87"/>
      <c r="E8" s="87"/>
      <c r="F8" s="87"/>
      <c r="G8" s="87"/>
      <c r="H8" s="87"/>
      <c r="I8" s="87"/>
      <c r="J8" s="87"/>
      <c r="K8" s="87"/>
      <c r="L8" s="87"/>
      <c r="M8" s="87"/>
      <c r="N8" s="87"/>
      <c r="O8" s="87"/>
      <c r="P8" s="87"/>
      <c r="Q8" s="87"/>
      <c r="R8" s="87"/>
      <c r="S8" s="87"/>
      <c r="T8" s="87"/>
      <c r="U8" s="87"/>
      <c r="V8" s="23"/>
    </row>
    <row r="9" spans="1:22" ht="20.399999999999999" x14ac:dyDescent="0.3">
      <c r="A9" s="24" t="s">
        <v>12</v>
      </c>
      <c r="B9" s="5" t="s">
        <v>13</v>
      </c>
      <c r="C9" s="5" t="s">
        <v>14</v>
      </c>
      <c r="D9" s="5" t="s">
        <v>15</v>
      </c>
      <c r="E9" s="5" t="s">
        <v>16</v>
      </c>
      <c r="F9" s="5" t="s">
        <v>17</v>
      </c>
      <c r="G9" s="5" t="s">
        <v>18</v>
      </c>
      <c r="H9" s="5" t="s">
        <v>19</v>
      </c>
      <c r="I9" s="5" t="s">
        <v>20</v>
      </c>
      <c r="J9" s="5" t="s">
        <v>21</v>
      </c>
      <c r="K9" s="5" t="s">
        <v>22</v>
      </c>
      <c r="L9" s="5" t="s">
        <v>23</v>
      </c>
      <c r="M9" s="5" t="s">
        <v>24</v>
      </c>
      <c r="N9" s="5" t="s">
        <v>25</v>
      </c>
      <c r="O9" s="5" t="s">
        <v>26</v>
      </c>
      <c r="P9" s="5" t="s">
        <v>27</v>
      </c>
      <c r="Q9" s="5" t="s">
        <v>28</v>
      </c>
      <c r="R9" s="5" t="s">
        <v>29</v>
      </c>
      <c r="S9" s="5" t="s">
        <v>30</v>
      </c>
      <c r="T9" s="5" t="s">
        <v>31</v>
      </c>
      <c r="U9" s="33" t="s">
        <v>32</v>
      </c>
      <c r="V9" s="23"/>
    </row>
    <row r="10" spans="1:22" ht="15" customHeight="1" x14ac:dyDescent="0.3">
      <c r="A10" s="25" t="str">
        <f>IF($C$6="","",$C$6+0)</f>
        <v/>
      </c>
      <c r="B10" s="6" t="str">
        <f t="shared" ref="B10:B16" si="0">IF(A10="","",TEXT(A10,"ddd"))</f>
        <v/>
      </c>
      <c r="C10" s="7"/>
      <c r="D10" s="8"/>
      <c r="E10" s="8"/>
      <c r="F10" s="8"/>
      <c r="G10" s="8"/>
      <c r="H10" s="8"/>
      <c r="I10" s="7"/>
      <c r="J10" s="8"/>
      <c r="K10" s="8"/>
      <c r="L10" s="8"/>
      <c r="M10" s="9" t="str">
        <f t="shared" ref="M10:M16" si="1">IF(OR(D10="",L10=""),"",IF(OR(AND(G10&lt;&gt;"",H10&lt;&gt;"",MOD(IF(ISNUMBER(H10),IF(H10&lt;1,H10,IF(H10&lt;100,TIME(H10,0,0),TIME(INT(H10/100),MOD(H10,100),0))),0)-IF(ISNUMBER(D10),IF(D10&lt;1,D10,IF(D10&lt;100,TIME(D10,0,0),TIME(INT(D10/100),MOD(D10,100),0))),0),1)&lt;=MOD(IF(ISNUMBER(G10),IF(G10&lt;1,G10,IF(G10&lt;100,TIME(G10,0,0),TIME(INT(G10/100),MOD(G10,100),0))),0)-IF(ISNUMBER(D10),IF(D10&lt;1,D10,IF(D10&lt;100,TIME(D10,0,0),TIME(INT(D10/100),MOD(D10,100),0))),0),1)),AND(E10&lt;&gt;"",F10&lt;&gt;"",MOD(IF(ISNUMBER(F10),IF(F10&lt;1,F10,IF(F10&lt;100,TIME(F10,0,0),TIME(INT(F10/100),MOD(F10,100),0))),0)-IF(ISNUMBER(D10),IF(D10&lt;1,D10,IF(D10&lt;100,TIME(D10,0,0),TIME(INT(D10/100),MOD(D10,100),0))),0),1)&lt;=MOD(IF(ISNUMBER(E10),IF(E10&lt;1,E10,IF(E10&lt;100,TIME(E10,0,0),TIME(INT(E10/100),MOD(E10,100),0))),0)-IF(ISNUMBER(D10),IF(D10&lt;1,D10,IF(D10&lt;100,TIME(D10,0,0),TIME(INT(D10/100),MOD(D10,100),0))),0),1)),AND(J10&lt;&gt;"",K10&lt;&gt;"",MOD(IF(ISNUMBER(K10),IF(K10&lt;1,K10,IF(K10&lt;100,TIME(K10,0,0),TIME(INT(K10/100),MOD(K10,100),0))),0)-IF(ISNUMBER(D10),IF(D10&lt;1,D10,IF(D10&lt;100,TIME(D10,0,0),TIME(INT(D10/100),MOD(D10,100),0))),0),1)&lt;=MOD(IF(ISNUMBER(J10),IF(J10&lt;1,J10,IF(J10&lt;100,TIME(J10,0,0),TIME(INT(J10/100),MOD(J10,100),0))),0)-IF(ISNUMBER(D10),IF(D10&lt;1,D10,IF(D10&lt;100,TIME(D10,0,0),TIME(INT(D10/100),MOD(D10,100),0))),0),1)),AND(H10&lt;&gt;"",MOD(IF(ISNUMBER(H10),IF(H10&lt;1,H10,IF(H10&lt;100,TIME(H10,0,0),TIME(INT(H10/100),MOD(H10,100),0))),0)-IF(ISNUMBER(D10),IF(D10&lt;1,D10,IF(D10&lt;100,TIME(D10,0,0),TIME(INT(D10/100),MOD(D10,100),0))),0),1)&gt;MOD(IF(ISNUMBER(L10),IF(L10&lt;1,L10,IF(L10&lt;100,TIME(L10,0,0),TIME(INT(L10/100),MOD(L10,100),0))),0)-IF(ISNUMBER(D10),IF(D10&lt;1,D10,IF(D10&lt;100,TIME(D10,0,0),TIME(INT(D10/100),MOD(D10,100),0))),0),1)),AND(F10&lt;&gt;"",MOD(IF(ISNUMBER(F10),IF(F10&lt;1,F10,IF(F10&lt;100,TIME(F10,0,0),TIME(INT(F10/100),MOD(F10,100),0))),0)-IF(ISNUMBER(D10),IF(D10&lt;1,D10,IF(D10&lt;100,TIME(D10,0,0),TIME(INT(D10/100),MOD(D10,100),0))),0),1)&gt;MOD(IF(ISNUMBER(L10),IF(L10&lt;1,L10,IF(L10&lt;100,TIME(L10,0,0),TIME(INT(L10/100),MOD(L10,100),0))),0)-IF(ISNUMBER(D10),IF(D10&lt;1,D10,IF(D10&lt;100,TIME(D10,0,0),TIME(INT(D10/100),MOD(D10,100),0))),0),1)),AND(K10&lt;&gt;"",MOD(IF(ISNUMBER(K10),IF(K10&lt;1,K10,IF(K10&lt;100,TIME(K10,0,0),TIME(INT(K10/100),MOD(K10,100),0))),0)-IF(ISNUMBER(D10),IF(D10&lt;1,D10,IF(D10&lt;100,TIME(D10,0,0),TIME(INT(D10/100),MOD(D10,100),0))),0),1)&gt;MOD(IF(ISNUMBER(L10),IF(L10&lt;1,L10,IF(L10&lt;100,TIME(L10,0,0),TIME(INT(L10/100),MOD(L10,100),0))),0)-IF(ISNUMBER(D10),IF(D10&lt;1,D10,IF(D10&lt;100,TIME(D10,0,0),TIME(INT(D10/100),MOD(D10,100),0))),0),1))),"CHECK",ROUND((MOD(IF(ISNUMBER(L10),IF(L10&lt;1,L10,IF(L10&lt;100,TIME(L10,0,0),TIME(INT(L10/100),MOD(L10,100),0))),0)-IF(ISNUMBER(D10),IF(D10&lt;1,D10,IF(D10&lt;100,TIME(D10,0,0),TIME(INT(D10/100),MOD(D10,100),0))),0),1)-IF(AND(G10&lt;&gt;"",H10&lt;&gt;""),MOD(IF(ISNUMBER(H10),IF(H10&lt;1,H10,IF(H10&lt;100,TIME(H10,0,0),TIME(INT(H10/100),MOD(H10,100),0))),0)-IF(ISNUMBER(D10),IF(D10&lt;1,D10,IF(D10&lt;100,TIME(D10,0,0),TIME(INT(D10/100),MOD(D10,100),0))),0),1)-MOD(IF(ISNUMBER(G10),IF(G10&lt;1,G10,IF(G10&lt;100,TIME(G10,0,0),TIME(INT(G10/100),MOD(G10,100),0))),0)-IF(ISNUMBER(D10),IF(D10&lt;1,D10,IF(D10&lt;100,TIME(D10,0,0),TIME(INT(D10/100),MOD(D10,100),0))),0),1),0))*24-IF(AND(E10&lt;&gt;"",F10&lt;&gt;""),MAX(0,(MOD(IF(ISNUMBER(F10),IF(F10&lt;1,F10,IF(F10&lt;100,TIME(F10,0,0),TIME(INT(F10/100),MOD(F10,100),0))),0)-IF(ISNUMBER(D10),IF(D10&lt;1,D10,IF(D10&lt;100,TIME(D10,0,0),TIME(INT(D10/100),MOD(D10,100),0))),0),1)-MOD(IF(ISNUMBER(E10),IF(E10&lt;1,E10,IF(E10&lt;100,TIME(E10,0,0),TIME(INT(E10/100),MOD(E10,100),0))),0)-IF(ISNUMBER(D10),IF(D10&lt;1,D10,IF(D10&lt;100,TIME(D10,0,0),TIME(INT(D10/100),MOD(D10,100),0))),0),1))*24-10/60),0)-IF(AND(J10&lt;&gt;"",K10&lt;&gt;""),MAX(0,(MOD(IF(ISNUMBER(K10),IF(K10&lt;1,K10,IF(K10&lt;100,TIME(K10,0,0),TIME(INT(K10/100),MOD(K10,100),0))),0)-IF(ISNUMBER(D10),IF(D10&lt;1,D10,IF(D10&lt;100,TIME(D10,0,0),TIME(INT(D10/100),MOD(D10,100),0))),0),1)-MOD(IF(ISNUMBER(J10),IF(J10&lt;1,J10,IF(J10&lt;100,TIME(J10,0,0),TIME(INT(J10/100),MOD(J10,100),0))),0)-IF(ISNUMBER(D10),IF(D10&lt;1,D10,IF(D10&lt;100,TIME(D10,0,0),TIME(INT(D10/100),MOD(D10,100),0))),0),1))*24-10/60),0),2)))</f>
        <v/>
      </c>
      <c r="N10" s="9" t="str">
        <f t="shared" ref="N10:N16" si="2">IF(ISNUMBER(M10),IF(UPPER(Q10)="Y",0,MIN(8,M10)),"")</f>
        <v/>
      </c>
      <c r="O10" s="9" t="str">
        <f t="shared" ref="O10:O16" si="3">IF(ISNUMBER(M10),IF(UPPER(Q10)="Y",MIN(8,M10),MAX(0,MIN(12,M10)-8)),"")</f>
        <v/>
      </c>
      <c r="P10" s="9" t="str">
        <f t="shared" ref="P10:P16" si="4">IF(ISNUMBER(M10),IF(UPPER(Q10)="Y",MAX(0,M10-8),MAX(0,M10-12)),"")</f>
        <v/>
      </c>
      <c r="Q10" s="10"/>
      <c r="R10" s="6">
        <f t="shared" ref="R10:R16" si="5">IF(ISNUMBER(M10),IF(AND(M10&gt;5,OR(G10="",H10=""),UPPER(I10)&lt;&gt;"Y"),1,0),0)</f>
        <v>0</v>
      </c>
      <c r="S10" s="6">
        <f t="shared" ref="S10:S16" si="6">IF(ISNUMBER(M10),IF(OR(AND(M10&gt;3.5,OR(E10="",F10="")),AND(M10&gt;6,OR(J10="",K10=""))),1,0),0)</f>
        <v>0</v>
      </c>
      <c r="T10" s="6">
        <f t="shared" ref="T10:T16" si="7">IF(ISNUMBER(M10),R10+S10,0)</f>
        <v>0</v>
      </c>
      <c r="U10" s="34"/>
      <c r="V10" s="23"/>
    </row>
    <row r="11" spans="1:22" ht="15" customHeight="1" x14ac:dyDescent="0.3">
      <c r="A11" s="26" t="str">
        <f>IF($C$6="","",$C$6+1)</f>
        <v/>
      </c>
      <c r="B11" s="11" t="str">
        <f t="shared" si="0"/>
        <v/>
      </c>
      <c r="C11" s="12"/>
      <c r="D11" s="13"/>
      <c r="E11" s="13"/>
      <c r="F11" s="13"/>
      <c r="G11" s="13"/>
      <c r="H11" s="13"/>
      <c r="I11" s="12"/>
      <c r="J11" s="13"/>
      <c r="K11" s="13"/>
      <c r="L11" s="13"/>
      <c r="M11" s="14" t="str">
        <f t="shared" si="1"/>
        <v/>
      </c>
      <c r="N11" s="14" t="str">
        <f t="shared" si="2"/>
        <v/>
      </c>
      <c r="O11" s="14" t="str">
        <f t="shared" si="3"/>
        <v/>
      </c>
      <c r="P11" s="14" t="str">
        <f t="shared" si="4"/>
        <v/>
      </c>
      <c r="Q11" s="15"/>
      <c r="R11" s="11">
        <f t="shared" si="5"/>
        <v>0</v>
      </c>
      <c r="S11" s="11">
        <f t="shared" si="6"/>
        <v>0</v>
      </c>
      <c r="T11" s="11">
        <f t="shared" si="7"/>
        <v>0</v>
      </c>
      <c r="U11" s="35"/>
      <c r="V11" s="23"/>
    </row>
    <row r="12" spans="1:22" ht="15" customHeight="1" x14ac:dyDescent="0.3">
      <c r="A12" s="25" t="str">
        <f>IF($C$6="","",$C$6+2)</f>
        <v/>
      </c>
      <c r="B12" s="6" t="str">
        <f t="shared" si="0"/>
        <v/>
      </c>
      <c r="C12" s="7"/>
      <c r="D12" s="8"/>
      <c r="E12" s="8"/>
      <c r="F12" s="8"/>
      <c r="G12" s="8"/>
      <c r="H12" s="8"/>
      <c r="I12" s="7"/>
      <c r="J12" s="8"/>
      <c r="K12" s="8"/>
      <c r="L12" s="8"/>
      <c r="M12" s="9" t="str">
        <f t="shared" si="1"/>
        <v/>
      </c>
      <c r="N12" s="9" t="str">
        <f t="shared" si="2"/>
        <v/>
      </c>
      <c r="O12" s="9" t="str">
        <f t="shared" si="3"/>
        <v/>
      </c>
      <c r="P12" s="9" t="str">
        <f t="shared" si="4"/>
        <v/>
      </c>
      <c r="Q12" s="10"/>
      <c r="R12" s="6">
        <f t="shared" si="5"/>
        <v>0</v>
      </c>
      <c r="S12" s="6">
        <f t="shared" si="6"/>
        <v>0</v>
      </c>
      <c r="T12" s="6">
        <f t="shared" si="7"/>
        <v>0</v>
      </c>
      <c r="U12" s="34"/>
      <c r="V12" s="23"/>
    </row>
    <row r="13" spans="1:22" ht="15" customHeight="1" x14ac:dyDescent="0.3">
      <c r="A13" s="26" t="str">
        <f>IF($C$6="","",$C$6+3)</f>
        <v/>
      </c>
      <c r="B13" s="11" t="str">
        <f t="shared" si="0"/>
        <v/>
      </c>
      <c r="C13" s="12"/>
      <c r="D13" s="13"/>
      <c r="E13" s="13"/>
      <c r="F13" s="13"/>
      <c r="G13" s="13"/>
      <c r="H13" s="13"/>
      <c r="I13" s="12"/>
      <c r="J13" s="13"/>
      <c r="K13" s="13"/>
      <c r="L13" s="13"/>
      <c r="M13" s="14" t="str">
        <f t="shared" si="1"/>
        <v/>
      </c>
      <c r="N13" s="14" t="str">
        <f t="shared" si="2"/>
        <v/>
      </c>
      <c r="O13" s="14" t="str">
        <f t="shared" si="3"/>
        <v/>
      </c>
      <c r="P13" s="14" t="str">
        <f t="shared" si="4"/>
        <v/>
      </c>
      <c r="Q13" s="15"/>
      <c r="R13" s="11">
        <f t="shared" si="5"/>
        <v>0</v>
      </c>
      <c r="S13" s="11">
        <f t="shared" si="6"/>
        <v>0</v>
      </c>
      <c r="T13" s="11">
        <f t="shared" si="7"/>
        <v>0</v>
      </c>
      <c r="U13" s="35"/>
      <c r="V13" s="23"/>
    </row>
    <row r="14" spans="1:22" ht="15" customHeight="1" x14ac:dyDescent="0.3">
      <c r="A14" s="25" t="str">
        <f>IF($C$6="","",$C$6+4)</f>
        <v/>
      </c>
      <c r="B14" s="6" t="str">
        <f t="shared" si="0"/>
        <v/>
      </c>
      <c r="C14" s="7"/>
      <c r="D14" s="8"/>
      <c r="E14" s="8"/>
      <c r="F14" s="8"/>
      <c r="G14" s="8"/>
      <c r="H14" s="8"/>
      <c r="I14" s="7"/>
      <c r="J14" s="8"/>
      <c r="K14" s="8"/>
      <c r="L14" s="8"/>
      <c r="M14" s="9" t="str">
        <f t="shared" si="1"/>
        <v/>
      </c>
      <c r="N14" s="9" t="str">
        <f t="shared" si="2"/>
        <v/>
      </c>
      <c r="O14" s="9" t="str">
        <f t="shared" si="3"/>
        <v/>
      </c>
      <c r="P14" s="9" t="str">
        <f t="shared" si="4"/>
        <v/>
      </c>
      <c r="Q14" s="10"/>
      <c r="R14" s="6">
        <f t="shared" si="5"/>
        <v>0</v>
      </c>
      <c r="S14" s="6">
        <f t="shared" si="6"/>
        <v>0</v>
      </c>
      <c r="T14" s="6">
        <f t="shared" si="7"/>
        <v>0</v>
      </c>
      <c r="U14" s="34"/>
      <c r="V14" s="23"/>
    </row>
    <row r="15" spans="1:22" ht="15" customHeight="1" x14ac:dyDescent="0.3">
      <c r="A15" s="26" t="str">
        <f>IF($C$6="","",$C$6+5)</f>
        <v/>
      </c>
      <c r="B15" s="11" t="str">
        <f t="shared" si="0"/>
        <v/>
      </c>
      <c r="C15" s="12"/>
      <c r="D15" s="13"/>
      <c r="E15" s="13"/>
      <c r="F15" s="13"/>
      <c r="G15" s="13"/>
      <c r="H15" s="13"/>
      <c r="I15" s="12"/>
      <c r="J15" s="13"/>
      <c r="K15" s="13"/>
      <c r="L15" s="13"/>
      <c r="M15" s="14" t="str">
        <f t="shared" si="1"/>
        <v/>
      </c>
      <c r="N15" s="14" t="str">
        <f t="shared" si="2"/>
        <v/>
      </c>
      <c r="O15" s="14" t="str">
        <f t="shared" si="3"/>
        <v/>
      </c>
      <c r="P15" s="14" t="str">
        <f t="shared" si="4"/>
        <v/>
      </c>
      <c r="Q15" s="15"/>
      <c r="R15" s="11">
        <f t="shared" si="5"/>
        <v>0</v>
      </c>
      <c r="S15" s="11">
        <f t="shared" si="6"/>
        <v>0</v>
      </c>
      <c r="T15" s="11">
        <f t="shared" si="7"/>
        <v>0</v>
      </c>
      <c r="U15" s="35"/>
      <c r="V15" s="23"/>
    </row>
    <row r="16" spans="1:22" ht="15" customHeight="1" x14ac:dyDescent="0.3">
      <c r="A16" s="25" t="str">
        <f>IF($C$6="","",$C$6+6)</f>
        <v/>
      </c>
      <c r="B16" s="6" t="str">
        <f t="shared" si="0"/>
        <v/>
      </c>
      <c r="C16" s="7"/>
      <c r="D16" s="8"/>
      <c r="E16" s="8"/>
      <c r="F16" s="8"/>
      <c r="G16" s="8"/>
      <c r="H16" s="8"/>
      <c r="I16" s="7"/>
      <c r="J16" s="8"/>
      <c r="K16" s="8"/>
      <c r="L16" s="8"/>
      <c r="M16" s="9" t="str">
        <f t="shared" si="1"/>
        <v/>
      </c>
      <c r="N16" s="9" t="str">
        <f t="shared" si="2"/>
        <v/>
      </c>
      <c r="O16" s="9" t="str">
        <f t="shared" si="3"/>
        <v/>
      </c>
      <c r="P16" s="9" t="str">
        <f t="shared" si="4"/>
        <v/>
      </c>
      <c r="Q16" s="6" t="str">
        <f>IF(AND(ISNUMBER(M10),ISNUMBER(M11),ISNUMBER(M12),ISNUMBER(M13),ISNUMBER(M14),ISNUMBER(M15),ISNUMBER(M16)),"Y","")</f>
        <v/>
      </c>
      <c r="R16" s="6">
        <f t="shared" si="5"/>
        <v>0</v>
      </c>
      <c r="S16" s="6">
        <f t="shared" si="6"/>
        <v>0</v>
      </c>
      <c r="T16" s="6">
        <f t="shared" si="7"/>
        <v>0</v>
      </c>
      <c r="U16" s="34"/>
      <c r="V16" s="23"/>
    </row>
    <row r="17" spans="1:22" ht="15" customHeight="1" x14ac:dyDescent="0.3">
      <c r="A17" s="71" t="s">
        <v>33</v>
      </c>
      <c r="B17" s="72"/>
      <c r="C17" s="72"/>
      <c r="D17" s="72"/>
      <c r="E17" s="72"/>
      <c r="F17" s="72"/>
      <c r="G17" s="72"/>
      <c r="H17" s="72"/>
      <c r="I17" s="72"/>
      <c r="J17" s="72"/>
      <c r="K17" s="72"/>
      <c r="L17" s="73"/>
      <c r="M17" s="16">
        <f>SUM(M10:M16)</f>
        <v>0</v>
      </c>
      <c r="N17" s="16">
        <f>SUM(N10:N16)</f>
        <v>0</v>
      </c>
      <c r="O17" s="16">
        <f>SUM(O10:O16)</f>
        <v>0</v>
      </c>
      <c r="P17" s="16">
        <f>SUM(P10:P16)</f>
        <v>0</v>
      </c>
      <c r="Q17" s="17"/>
      <c r="R17" s="16">
        <f>SUM(R10:R16)</f>
        <v>0</v>
      </c>
      <c r="S17" s="16">
        <f>SUM(S10:S16)</f>
        <v>0</v>
      </c>
      <c r="T17" s="16">
        <f>SUM(T10:T16)</f>
        <v>0</v>
      </c>
      <c r="U17" s="36"/>
      <c r="V17" s="23"/>
    </row>
    <row r="18" spans="1:22" x14ac:dyDescent="0.3">
      <c r="A18" s="27"/>
      <c r="U18" s="28"/>
      <c r="V18" s="23"/>
    </row>
    <row r="19" spans="1:22" ht="15" customHeight="1" x14ac:dyDescent="0.3">
      <c r="A19" s="81" t="s">
        <v>34</v>
      </c>
      <c r="B19" s="54"/>
      <c r="C19" s="54"/>
      <c r="D19" s="54"/>
      <c r="E19" s="54"/>
      <c r="F19" s="54"/>
      <c r="G19" s="54"/>
      <c r="H19" s="55"/>
      <c r="U19" s="28"/>
      <c r="V19" s="23"/>
    </row>
    <row r="20" spans="1:22" ht="15" customHeight="1" x14ac:dyDescent="0.3">
      <c r="A20" s="53" t="s">
        <v>35</v>
      </c>
      <c r="B20" s="54"/>
      <c r="C20" s="54"/>
      <c r="D20" s="54"/>
      <c r="E20" s="55"/>
      <c r="F20" s="46">
        <f>M17</f>
        <v>0</v>
      </c>
      <c r="G20" s="47"/>
      <c r="H20" s="48"/>
      <c r="U20" s="28"/>
      <c r="V20" s="23"/>
    </row>
    <row r="21" spans="1:22" ht="15" customHeight="1" x14ac:dyDescent="0.3">
      <c r="A21" s="68" t="s">
        <v>36</v>
      </c>
      <c r="B21" s="54"/>
      <c r="C21" s="54"/>
      <c r="D21" s="54"/>
      <c r="E21" s="55"/>
      <c r="F21" s="65">
        <f>MIN(40,N17)</f>
        <v>0</v>
      </c>
      <c r="G21" s="47"/>
      <c r="H21" s="48"/>
      <c r="U21" s="28"/>
      <c r="V21" s="23"/>
    </row>
    <row r="22" spans="1:22" ht="15" customHeight="1" x14ac:dyDescent="0.3">
      <c r="A22" s="53" t="s">
        <v>37</v>
      </c>
      <c r="B22" s="54"/>
      <c r="C22" s="54"/>
      <c r="D22" s="54"/>
      <c r="E22" s="55"/>
      <c r="F22" s="46">
        <f>O17</f>
        <v>0</v>
      </c>
      <c r="G22" s="47"/>
      <c r="H22" s="48"/>
      <c r="U22" s="28"/>
      <c r="V22" s="23"/>
    </row>
    <row r="23" spans="1:22" ht="15" customHeight="1" x14ac:dyDescent="0.3">
      <c r="A23" s="68" t="s">
        <v>38</v>
      </c>
      <c r="B23" s="54"/>
      <c r="C23" s="54"/>
      <c r="D23" s="54"/>
      <c r="E23" s="55"/>
      <c r="F23" s="65">
        <f>MAX(0,N17-40)</f>
        <v>0</v>
      </c>
      <c r="G23" s="47"/>
      <c r="H23" s="48"/>
      <c r="U23" s="28"/>
      <c r="V23" s="23"/>
    </row>
    <row r="24" spans="1:22" ht="15" customHeight="1" x14ac:dyDescent="0.3">
      <c r="A24" s="53" t="s">
        <v>39</v>
      </c>
      <c r="B24" s="54"/>
      <c r="C24" s="54"/>
      <c r="D24" s="54"/>
      <c r="E24" s="55"/>
      <c r="F24" s="46">
        <f>O17+MAX(0,N17-40)</f>
        <v>0</v>
      </c>
      <c r="G24" s="47"/>
      <c r="H24" s="48"/>
      <c r="U24" s="28"/>
      <c r="V24" s="23"/>
    </row>
    <row r="25" spans="1:22" ht="15" customHeight="1" x14ac:dyDescent="0.3">
      <c r="A25" s="68" t="s">
        <v>40</v>
      </c>
      <c r="B25" s="54"/>
      <c r="C25" s="54"/>
      <c r="D25" s="54"/>
      <c r="E25" s="55"/>
      <c r="F25" s="65">
        <f>P17</f>
        <v>0</v>
      </c>
      <c r="G25" s="47"/>
      <c r="H25" s="48"/>
      <c r="U25" s="28"/>
      <c r="V25" s="23"/>
    </row>
    <row r="26" spans="1:22" ht="15" customHeight="1" x14ac:dyDescent="0.3">
      <c r="A26" s="53" t="s">
        <v>41</v>
      </c>
      <c r="B26" s="54"/>
      <c r="C26" s="54"/>
      <c r="D26" s="54"/>
      <c r="E26" s="55"/>
      <c r="F26" s="59"/>
      <c r="G26" s="60"/>
      <c r="H26" s="61"/>
      <c r="U26" s="28"/>
      <c r="V26" s="23"/>
    </row>
    <row r="27" spans="1:22" ht="15" customHeight="1" x14ac:dyDescent="0.3">
      <c r="A27" s="68" t="s">
        <v>42</v>
      </c>
      <c r="B27" s="54"/>
      <c r="C27" s="54"/>
      <c r="D27" s="54"/>
      <c r="E27" s="55"/>
      <c r="F27" s="65">
        <f>T17</f>
        <v>0</v>
      </c>
      <c r="G27" s="47"/>
      <c r="H27" s="48"/>
      <c r="U27" s="28"/>
      <c r="V27" s="23"/>
    </row>
    <row r="28" spans="1:22" ht="6" customHeight="1" x14ac:dyDescent="0.3">
      <c r="A28" s="22"/>
      <c r="B28" s="1"/>
      <c r="C28" s="1"/>
      <c r="D28" s="1"/>
      <c r="E28" s="1"/>
      <c r="F28" s="1"/>
      <c r="G28" s="1"/>
      <c r="H28" s="1"/>
      <c r="I28" s="1"/>
      <c r="J28" s="1"/>
      <c r="K28" s="1"/>
      <c r="L28" s="1"/>
      <c r="M28" s="1"/>
      <c r="N28" s="1"/>
      <c r="O28" s="1"/>
      <c r="P28" s="1"/>
      <c r="Q28" s="1"/>
      <c r="R28" s="1"/>
      <c r="S28" s="1"/>
      <c r="T28" s="1"/>
      <c r="U28" s="29"/>
      <c r="V28" s="23"/>
    </row>
    <row r="29" spans="1:22" ht="15" customHeight="1" x14ac:dyDescent="0.3">
      <c r="A29" s="78" t="s">
        <v>43</v>
      </c>
      <c r="B29" s="52"/>
      <c r="C29" s="52"/>
      <c r="D29" s="52"/>
      <c r="E29" s="52"/>
      <c r="F29" s="52"/>
      <c r="G29" s="52"/>
      <c r="H29" s="52"/>
      <c r="I29" s="52"/>
      <c r="J29" s="52"/>
      <c r="K29" s="52"/>
      <c r="L29" s="52"/>
      <c r="M29" s="52"/>
      <c r="N29" s="52"/>
      <c r="O29" s="52"/>
      <c r="P29" s="52"/>
      <c r="Q29" s="52"/>
      <c r="R29" s="52"/>
      <c r="S29" s="52"/>
      <c r="T29" s="52"/>
      <c r="U29" s="52"/>
      <c r="V29" s="23"/>
    </row>
    <row r="30" spans="1:22" ht="15" customHeight="1" x14ac:dyDescent="0.3">
      <c r="A30" s="75" t="s">
        <v>44</v>
      </c>
      <c r="B30" s="52"/>
      <c r="C30" s="52"/>
      <c r="D30" s="52"/>
      <c r="E30" s="52"/>
      <c r="F30" s="52"/>
      <c r="G30" s="52"/>
      <c r="H30" s="52"/>
      <c r="I30" s="52"/>
      <c r="J30" s="52"/>
      <c r="K30" s="52"/>
      <c r="L30" s="52"/>
      <c r="M30" s="52"/>
      <c r="N30" s="52"/>
      <c r="O30" s="52"/>
      <c r="P30" s="52"/>
      <c r="Q30" s="52"/>
      <c r="R30" s="52"/>
      <c r="S30" s="52"/>
      <c r="T30" s="52"/>
      <c r="U30" s="52"/>
      <c r="V30" s="23"/>
    </row>
    <row r="31" spans="1:22" x14ac:dyDescent="0.3">
      <c r="A31" s="76"/>
      <c r="B31" s="52"/>
      <c r="C31" s="52"/>
      <c r="D31" s="52"/>
      <c r="E31" s="52"/>
      <c r="F31" s="52"/>
      <c r="G31" s="52"/>
      <c r="H31" s="52"/>
      <c r="I31" s="52"/>
      <c r="J31" s="52"/>
      <c r="K31" s="52"/>
      <c r="L31" s="52"/>
      <c r="M31" s="52"/>
      <c r="N31" s="52"/>
      <c r="O31" s="52"/>
      <c r="P31" s="52"/>
      <c r="Q31" s="52"/>
      <c r="R31" s="52"/>
      <c r="S31" s="52"/>
      <c r="T31" s="52"/>
      <c r="U31" s="52"/>
      <c r="V31" s="23"/>
    </row>
    <row r="32" spans="1:22" x14ac:dyDescent="0.3">
      <c r="A32" s="22"/>
      <c r="B32" s="1"/>
      <c r="C32" s="1"/>
      <c r="D32" s="1"/>
      <c r="E32" s="1"/>
      <c r="F32" s="1"/>
      <c r="G32" s="1"/>
      <c r="H32" s="1"/>
      <c r="I32" s="1"/>
      <c r="J32" s="1"/>
      <c r="K32" s="1"/>
      <c r="L32" s="1"/>
      <c r="M32" s="1"/>
      <c r="N32" s="1"/>
      <c r="O32" s="1"/>
      <c r="P32" s="1"/>
      <c r="Q32" s="1"/>
      <c r="R32" s="1"/>
      <c r="S32" s="1"/>
      <c r="T32" s="1"/>
      <c r="U32" s="29"/>
      <c r="V32" s="23"/>
    </row>
    <row r="33" spans="1:23" ht="15" customHeight="1" x14ac:dyDescent="0.3">
      <c r="A33" s="63" t="s">
        <v>45</v>
      </c>
      <c r="B33" s="52"/>
      <c r="C33" s="52"/>
      <c r="D33" s="69"/>
      <c r="E33" s="70"/>
      <c r="F33" s="70"/>
      <c r="G33" s="70"/>
      <c r="H33" s="70"/>
      <c r="I33" s="70"/>
      <c r="J33" s="1"/>
      <c r="K33" s="57" t="s">
        <v>46</v>
      </c>
      <c r="L33" s="58"/>
      <c r="M33" s="69"/>
      <c r="N33" s="70"/>
      <c r="O33" s="70"/>
      <c r="P33" s="70"/>
      <c r="Q33" s="1"/>
      <c r="R33" s="1"/>
      <c r="S33" s="1"/>
      <c r="T33" s="1"/>
      <c r="U33" s="29"/>
      <c r="V33" s="23"/>
    </row>
    <row r="34" spans="1:23" ht="15" customHeight="1" x14ac:dyDescent="0.3">
      <c r="A34" s="63" t="s">
        <v>47</v>
      </c>
      <c r="B34" s="52"/>
      <c r="C34" s="52"/>
      <c r="D34" s="69"/>
      <c r="E34" s="70"/>
      <c r="F34" s="70"/>
      <c r="G34" s="70"/>
      <c r="H34" s="70"/>
      <c r="I34" s="70"/>
      <c r="J34" s="1"/>
      <c r="K34" s="51" t="s">
        <v>46</v>
      </c>
      <c r="L34" s="52"/>
      <c r="M34" s="69"/>
      <c r="N34" s="70"/>
      <c r="O34" s="70"/>
      <c r="P34" s="70"/>
      <c r="Q34" s="1"/>
      <c r="R34" s="1"/>
      <c r="S34" s="1"/>
      <c r="T34" s="1"/>
      <c r="U34" s="29"/>
      <c r="V34" s="23"/>
    </row>
    <row r="35" spans="1:23" x14ac:dyDescent="0.3">
      <c r="A35" s="22"/>
      <c r="B35" s="1"/>
      <c r="C35" s="2"/>
      <c r="D35" s="2"/>
      <c r="E35" s="1"/>
      <c r="F35" s="1"/>
      <c r="G35" s="1"/>
      <c r="H35" s="1"/>
      <c r="I35" s="1"/>
      <c r="J35" s="1"/>
      <c r="K35" s="2"/>
      <c r="L35" s="2"/>
      <c r="M35" s="2"/>
      <c r="N35" s="1"/>
      <c r="O35" s="1"/>
      <c r="P35" s="1"/>
      <c r="Q35" s="1"/>
      <c r="R35" s="1"/>
      <c r="S35" s="1"/>
      <c r="T35" s="1"/>
      <c r="U35" s="29"/>
      <c r="V35" s="23"/>
    </row>
    <row r="36" spans="1:23" ht="15" customHeight="1" x14ac:dyDescent="0.3">
      <c r="A36" s="78" t="s">
        <v>48</v>
      </c>
      <c r="B36" s="52"/>
      <c r="C36" s="52"/>
      <c r="D36" s="52"/>
      <c r="E36" s="52"/>
      <c r="F36" s="52"/>
      <c r="G36" s="52"/>
      <c r="H36" s="52"/>
      <c r="I36" s="52"/>
      <c r="J36" s="52"/>
      <c r="K36" s="52"/>
      <c r="L36" s="52"/>
      <c r="M36" s="52"/>
      <c r="N36" s="52"/>
      <c r="O36" s="52"/>
      <c r="P36" s="52"/>
      <c r="Q36" s="52"/>
      <c r="R36" s="52"/>
      <c r="S36" s="52"/>
      <c r="T36" s="52"/>
      <c r="U36" s="52"/>
      <c r="V36" s="23"/>
    </row>
    <row r="37" spans="1:23" ht="15" customHeight="1" x14ac:dyDescent="0.3">
      <c r="A37" s="75" t="s">
        <v>49</v>
      </c>
      <c r="B37" s="52"/>
      <c r="C37" s="52"/>
      <c r="D37" s="52"/>
      <c r="E37" s="52"/>
      <c r="F37" s="52"/>
      <c r="G37" s="52"/>
      <c r="H37" s="52"/>
      <c r="I37" s="52"/>
      <c r="J37" s="52"/>
      <c r="K37" s="52"/>
      <c r="L37" s="52"/>
      <c r="M37" s="52"/>
      <c r="N37" s="52"/>
      <c r="O37" s="52"/>
      <c r="P37" s="52"/>
      <c r="Q37" s="52"/>
      <c r="R37" s="52"/>
      <c r="S37" s="52"/>
      <c r="T37" s="52"/>
      <c r="U37" s="52"/>
      <c r="V37" s="23"/>
    </row>
    <row r="38" spans="1:23" x14ac:dyDescent="0.3">
      <c r="A38" s="76"/>
      <c r="B38" s="52"/>
      <c r="C38" s="52"/>
      <c r="D38" s="52"/>
      <c r="E38" s="52"/>
      <c r="F38" s="52"/>
      <c r="G38" s="52"/>
      <c r="H38" s="52"/>
      <c r="I38" s="52"/>
      <c r="J38" s="52"/>
      <c r="K38" s="52"/>
      <c r="L38" s="52"/>
      <c r="M38" s="52"/>
      <c r="N38" s="52"/>
      <c r="O38" s="52"/>
      <c r="P38" s="52"/>
      <c r="Q38" s="52"/>
      <c r="R38" s="52"/>
      <c r="S38" s="52"/>
      <c r="T38" s="52"/>
      <c r="U38" s="52"/>
      <c r="V38" s="23"/>
    </row>
    <row r="39" spans="1:23" x14ac:dyDescent="0.3">
      <c r="A39" s="22"/>
      <c r="B39" s="1"/>
      <c r="C39" s="1"/>
      <c r="D39" s="1"/>
      <c r="E39" s="1"/>
      <c r="F39" s="1"/>
      <c r="G39" s="1"/>
      <c r="H39" s="1"/>
      <c r="I39" s="1"/>
      <c r="J39" s="1"/>
      <c r="K39" s="1"/>
      <c r="L39" s="1"/>
      <c r="M39" s="1"/>
      <c r="N39" s="1"/>
      <c r="O39" s="1"/>
      <c r="P39" s="1"/>
      <c r="Q39" s="1"/>
      <c r="R39" s="1"/>
      <c r="S39" s="1"/>
      <c r="T39" s="1"/>
      <c r="U39" s="29"/>
      <c r="V39" s="23"/>
    </row>
    <row r="40" spans="1:23" ht="15" customHeight="1" x14ac:dyDescent="0.3">
      <c r="A40" s="63" t="s">
        <v>45</v>
      </c>
      <c r="B40" s="52"/>
      <c r="C40" s="52"/>
      <c r="D40" s="80"/>
      <c r="E40" s="70"/>
      <c r="F40" s="70"/>
      <c r="G40" s="70"/>
      <c r="H40" s="70"/>
      <c r="I40" s="70"/>
      <c r="J40" s="29"/>
      <c r="K40" s="74" t="s">
        <v>46</v>
      </c>
      <c r="L40" s="52"/>
      <c r="M40" s="80"/>
      <c r="N40" s="70"/>
      <c r="O40" s="70"/>
      <c r="P40" s="70"/>
      <c r="Q40" s="29"/>
      <c r="R40" s="29"/>
      <c r="S40" s="29"/>
      <c r="T40" s="29"/>
      <c r="U40" s="29"/>
      <c r="V40" s="23"/>
    </row>
    <row r="41" spans="1:23" x14ac:dyDescent="0.3">
      <c r="A41" s="30"/>
      <c r="B41" s="31"/>
      <c r="C41" s="32"/>
      <c r="D41" s="32"/>
      <c r="E41" s="31"/>
      <c r="F41" s="31"/>
      <c r="G41" s="31"/>
      <c r="H41" s="31"/>
      <c r="I41" s="31"/>
      <c r="J41" s="31"/>
      <c r="K41" s="32"/>
      <c r="L41" s="32"/>
      <c r="M41" s="32"/>
      <c r="N41" s="31"/>
      <c r="O41" s="31"/>
      <c r="P41" s="31"/>
      <c r="Q41" s="31"/>
      <c r="R41" s="31"/>
      <c r="S41" s="31"/>
      <c r="T41" s="31"/>
      <c r="U41" s="37"/>
      <c r="V41" s="38"/>
      <c r="W41" s="20"/>
    </row>
    <row r="42" spans="1:23" x14ac:dyDescent="0.3">
      <c r="A42" s="18"/>
      <c r="B42" s="18"/>
      <c r="C42" s="18"/>
      <c r="D42" s="19"/>
      <c r="E42" s="18"/>
      <c r="F42" s="18"/>
      <c r="G42" s="18"/>
      <c r="H42" s="18"/>
      <c r="I42" s="18"/>
      <c r="J42" s="18"/>
      <c r="K42" s="18"/>
      <c r="L42" s="18"/>
      <c r="M42" s="19"/>
      <c r="N42" s="18"/>
      <c r="O42" s="18"/>
      <c r="P42" s="18"/>
      <c r="Q42" s="18"/>
      <c r="R42" s="18"/>
      <c r="S42" s="18"/>
      <c r="T42" s="18"/>
      <c r="U42" s="18"/>
      <c r="V42" s="20"/>
      <c r="W42" s="20"/>
    </row>
    <row r="43" spans="1:23" x14ac:dyDescent="0.3">
      <c r="A43" s="18"/>
      <c r="B43" s="18"/>
      <c r="C43" s="18"/>
      <c r="D43" s="18"/>
      <c r="E43" s="18"/>
      <c r="F43" s="18"/>
      <c r="G43" s="18"/>
      <c r="H43" s="18"/>
      <c r="I43" s="18"/>
      <c r="J43" s="18"/>
      <c r="K43" s="18"/>
      <c r="L43" s="18"/>
      <c r="M43" s="18"/>
      <c r="N43" s="18"/>
      <c r="O43" s="18"/>
      <c r="P43" s="18"/>
      <c r="Q43" s="18"/>
      <c r="R43" s="18"/>
      <c r="S43" s="18"/>
      <c r="T43" s="18"/>
      <c r="U43" s="18"/>
      <c r="V43" s="20"/>
      <c r="W43" s="20"/>
    </row>
    <row r="44" spans="1:23" x14ac:dyDescent="0.3">
      <c r="A44" s="18"/>
      <c r="B44" s="18"/>
      <c r="C44" s="18"/>
      <c r="D44" s="18"/>
      <c r="E44" s="18"/>
      <c r="F44" s="18"/>
      <c r="G44" s="18"/>
      <c r="H44" s="18"/>
      <c r="I44" s="18"/>
      <c r="J44" s="18"/>
      <c r="K44" s="18"/>
      <c r="L44" s="18"/>
      <c r="M44" s="18"/>
      <c r="N44" s="18"/>
      <c r="O44" s="18"/>
      <c r="P44" s="18"/>
      <c r="Q44" s="18"/>
      <c r="R44" s="18"/>
      <c r="S44" s="18"/>
      <c r="T44" s="18"/>
      <c r="U44" s="18"/>
      <c r="V44" s="20"/>
      <c r="W44" s="20"/>
    </row>
    <row r="45" spans="1:23" x14ac:dyDescent="0.3">
      <c r="A45" s="18"/>
      <c r="B45" s="18"/>
      <c r="C45" s="18"/>
      <c r="D45" s="18"/>
      <c r="E45" s="18"/>
      <c r="F45" s="18"/>
      <c r="G45" s="18"/>
      <c r="H45" s="18"/>
      <c r="I45" s="18"/>
      <c r="J45" s="18"/>
      <c r="K45" s="18"/>
      <c r="L45" s="18"/>
      <c r="M45" s="18"/>
      <c r="N45" s="18"/>
      <c r="O45" s="18"/>
      <c r="P45" s="18"/>
      <c r="Q45" s="18"/>
      <c r="R45" s="18"/>
      <c r="S45" s="18"/>
      <c r="T45" s="18"/>
      <c r="U45" s="18"/>
      <c r="V45" s="20"/>
      <c r="W45" s="20"/>
    </row>
    <row r="46" spans="1:23" x14ac:dyDescent="0.3">
      <c r="A46" s="20"/>
      <c r="B46" s="20"/>
      <c r="C46" s="20"/>
      <c r="D46" s="20"/>
      <c r="E46" s="20"/>
      <c r="F46" s="20"/>
      <c r="G46" s="20"/>
      <c r="H46" s="20"/>
      <c r="I46" s="20"/>
      <c r="J46" s="20"/>
      <c r="K46" s="20"/>
      <c r="L46" s="20"/>
      <c r="M46" s="20"/>
      <c r="N46" s="20"/>
      <c r="O46" s="20"/>
      <c r="P46" s="20"/>
      <c r="Q46" s="20"/>
      <c r="R46" s="20"/>
      <c r="S46" s="20"/>
      <c r="T46" s="20"/>
      <c r="U46" s="20"/>
      <c r="V46" s="20"/>
      <c r="W46" s="20"/>
    </row>
  </sheetData>
  <sheetProtection sheet="1" formatCells="0"/>
  <mergeCells count="51">
    <mergeCell ref="A1:U1"/>
    <mergeCell ref="F21:H21"/>
    <mergeCell ref="F24:H24"/>
    <mergeCell ref="M33:P33"/>
    <mergeCell ref="M40:P40"/>
    <mergeCell ref="D40:I40"/>
    <mergeCell ref="A37:U38"/>
    <mergeCell ref="A19:H19"/>
    <mergeCell ref="A36:U36"/>
    <mergeCell ref="M34:P34"/>
    <mergeCell ref="A17:L17"/>
    <mergeCell ref="K40:L40"/>
    <mergeCell ref="A30:U31"/>
    <mergeCell ref="A27:E27"/>
    <mergeCell ref="A21:E21"/>
    <mergeCell ref="D33:I33"/>
    <mergeCell ref="A26:E26"/>
    <mergeCell ref="A29:U29"/>
    <mergeCell ref="A40:C40"/>
    <mergeCell ref="A23:E23"/>
    <mergeCell ref="A34:C34"/>
    <mergeCell ref="A22:E22"/>
    <mergeCell ref="F25:H25"/>
    <mergeCell ref="D34:I34"/>
    <mergeCell ref="A20:E20"/>
    <mergeCell ref="M5:N5"/>
    <mergeCell ref="A6:B6"/>
    <mergeCell ref="A3:U3"/>
    <mergeCell ref="F23:H23"/>
    <mergeCell ref="H6:J6"/>
    <mergeCell ref="F22:H22"/>
    <mergeCell ref="P6:Q6"/>
    <mergeCell ref="F5:G5"/>
    <mergeCell ref="A8:U8"/>
    <mergeCell ref="H5:J5"/>
    <mergeCell ref="R5:T5"/>
    <mergeCell ref="A5:B5"/>
    <mergeCell ref="R6:U6"/>
    <mergeCell ref="P5:Q5"/>
    <mergeCell ref="F20:H20"/>
    <mergeCell ref="C6:D6"/>
    <mergeCell ref="K34:L34"/>
    <mergeCell ref="A24:E24"/>
    <mergeCell ref="C5:D5"/>
    <mergeCell ref="K33:L33"/>
    <mergeCell ref="K5:L5"/>
    <mergeCell ref="F6:G6"/>
    <mergeCell ref="F26:H26"/>
    <mergeCell ref="A33:C33"/>
    <mergeCell ref="A25:E25"/>
    <mergeCell ref="F27:H27"/>
  </mergeCells>
  <conditionalFormatting sqref="E10:F16">
    <cfRule type="expression" dxfId="2" priority="3">
      <formula>AND($E10&lt;&gt;"",OR(AND($F10&lt;&gt;"",MOD(IF(ISNUMBER($F10),IF($F10&lt;1,$F10,IF($F10&lt;100,TIME($F10,0,0),TIME(INT($F10/100),MOD($F10,100),0))),0)-IF(ISNUMBER($D10),IF($D10&lt;1,$D10,IF($D10&lt;100,TIME($D10,0,0),TIME(INT($D10/100),MOD($D10,100),0))),0),1)&lt;=MOD(IF(ISNUMBER($E10),IF($E10&lt;1,$E10,IF($E10&lt;100,TIME($E10,0,0),TIME(INT($E10/100),MOD($E10,100),0))),0)-IF(ISNUMBER($D10),IF($D10&lt;1,$D10,IF($D10&lt;100,TIME($D10,0,0),TIME(INT($D10/100),MOD($D10,100),0))),0),1)),AND($F10&lt;&gt;"",MOD(IF(ISNUMBER($F10),IF($F10&lt;1,$F10,IF($F10&lt;100,TIME($F10,0,0),TIME(INT($F10/100),MOD($F10,100),0))),0)-IF(ISNUMBER($D10),IF($D10&lt;1,$D10,IF($D10&lt;100,TIME($D10,0,0),TIME(INT($D10/100),MOD($D10,100),0))),0),1)&gt;MOD(IF(ISNUMBER($L10),IF($L10&lt;1,$L10,IF($L10&lt;100,TIME($L10,0,0),TIME(INT($L10/100),MOD($L10,100),0))),0)-IF(ISNUMBER($D10),IF($D10&lt;1,$D10,IF($D10&lt;100,TIME($D10,0,0),TIME(INT($D10/100),MOD($D10,100),0))),0),1)),MOD(IF(ISNUMBER($E10),IF($E10&lt;1,$E10,IF($E10&lt;100,TIME($E10,0,0),TIME(INT($E10/100),MOD($E10,100),0))),0)-IF(ISNUMBER($D10),IF($D10&lt;1,$D10,IF($D10&lt;100,TIME($D10,0,0),TIME(INT($D10/100),MOD($D10,100),0))),0),1)&gt;MOD(IF(ISNUMBER($L10),IF($L10&lt;1,$L10,IF($L10&lt;100,TIME($L10,0,0),TIME(INT($L10/100),MOD($L10,100),0))),0)-IF(ISNUMBER($D10),IF($D10&lt;1,$D10,IF($D10&lt;100,TIME($D10,0,0),TIME(INT($D10/100),MOD($D10,100),0))),0),1)))</formula>
    </cfRule>
  </conditionalFormatting>
  <conditionalFormatting sqref="G10:H16">
    <cfRule type="expression" dxfId="1" priority="2">
      <formula>AND($G10&lt;&gt;"",OR(AND($H10&lt;&gt;"",MOD(IF(ISNUMBER($H10),IF($H10&lt;1,$H10,IF($H10&lt;100,TIME($H10,0,0),TIME(INT($H10/100),MOD($H10,100),0))),0)-IF(ISNUMBER($D10),IF($D10&lt;1,$D10,IF($D10&lt;100,TIME($D10,0,0),TIME(INT($D10/100),MOD($D10,100),0))),0),1)&lt;=MOD(IF(ISNUMBER($G10),IF($G10&lt;1,$G10,IF($G10&lt;100,TIME($G10,0,0),TIME(INT($G10/100),MOD($G10,100),0))),0)-IF(ISNUMBER($D10),IF($D10&lt;1,$D10,IF($D10&lt;100,TIME($D10,0,0),TIME(INT($D10/100),MOD($D10,100),0))),0),1)),AND($H10&lt;&gt;"",MOD(IF(ISNUMBER($H10),IF($H10&lt;1,$H10,IF($H10&lt;100,TIME($H10,0,0),TIME(INT($H10/100),MOD($H10,100),0))),0)-IF(ISNUMBER($D10),IF($D10&lt;1,$D10,IF($D10&lt;100,TIME($D10,0,0),TIME(INT($D10/100),MOD($D10,100),0))),0),1)&gt;MOD(IF(ISNUMBER($L10),IF($L10&lt;1,$L10,IF($L10&lt;100,TIME($L10,0,0),TIME(INT($L10/100),MOD($L10,100),0))),0)-IF(ISNUMBER($D10),IF($D10&lt;1,$D10,IF($D10&lt;100,TIME($D10,0,0),TIME(INT($D10/100),MOD($D10,100),0))),0),1)),MOD(IF(ISNUMBER($G10),IF($G10&lt;1,$G10,IF($G10&lt;100,TIME($G10,0,0),TIME(INT($G10/100),MOD($G10,100),0))),0)-IF(ISNUMBER($D10),IF($D10&lt;1,$D10,IF($D10&lt;100,TIME($D10,0,0),TIME(INT($D10/100),MOD($D10,100),0))),0),1)&gt;MOD(IF(ISNUMBER($L10),IF($L10&lt;1,$L10,IF($L10&lt;100,TIME($L10,0,0),TIME(INT($L10/100),MOD($L10,100),0))),0)-IF(ISNUMBER($D10),IF($D10&lt;1,$D10,IF($D10&lt;100,TIME($D10,0,0),TIME(INT($D10/100),MOD($D10,100),0))),0),1)))</formula>
    </cfRule>
  </conditionalFormatting>
  <conditionalFormatting sqref="J10:K16">
    <cfRule type="expression" dxfId="0" priority="4">
      <formula>AND($J10&lt;&gt;"",OR(AND($K10&lt;&gt;"",MOD(IF(ISNUMBER($K10),IF($K10&lt;1,$K10,IF($K10&lt;100,TIME($K10,0,0),TIME(INT($K10/100),MOD($K10,100),0))),0)-IF(ISNUMBER($D10),IF($D10&lt;1,$D10,IF($D10&lt;100,TIME($D10,0,0),TIME(INT($D10/100),MOD($D10,100),0))),0),1)&lt;=MOD(IF(ISNUMBER($J10),IF($J10&lt;1,$J10,IF($J10&lt;100,TIME($J10,0,0),TIME(INT($J10/100),MOD($J10,100),0))),0)-IF(ISNUMBER($D10),IF($D10&lt;1,$D10,IF($D10&lt;100,TIME($D10,0,0),TIME(INT($D10/100),MOD($D10,100),0))),0),1)),AND($K10&lt;&gt;"",MOD(IF(ISNUMBER($K10),IF($K10&lt;1,$K10,IF($K10&lt;100,TIME($K10,0,0),TIME(INT($K10/100),MOD($K10,100),0))),0)-IF(ISNUMBER($D10),IF($D10&lt;1,$D10,IF($D10&lt;100,TIME($D10,0,0),TIME(INT($D10/100),MOD($D10,100),0))),0),1)&gt;MOD(IF(ISNUMBER($L10),IF($L10&lt;1,$L10,IF($L10&lt;100,TIME($L10,0,0),TIME(INT($L10/100),MOD($L10,100),0))),0)-IF(ISNUMBER($D10),IF($D10&lt;1,$D10,IF($D10&lt;100,TIME($D10,0,0),TIME(INT($D10/100),MOD($D10,100),0))),0),1)),MOD(IF(ISNUMBER($J10),IF($J10&lt;1,$J10,IF($J10&lt;100,TIME($J10,0,0),TIME(INT($J10/100),MOD($J10,100),0))),0)-IF(ISNUMBER($D10),IF($D10&lt;1,$D10,IF($D10&lt;100,TIME($D10,0,0),TIME(INT($D10/100),MOD($D10,100),0))),0),1)&gt;MOD(IF(ISNUMBER($L10),IF($L10&lt;1,$L10,IF($L10&lt;100,TIME($L10,0,0),TIME(INT($L10/100),MOD($L10,100),0))),0)-IF(ISNUMBER($D10),IF($D10&lt;1,$D10,IF($D10&lt;100,TIME($D10,0,0),TIME(INT($D10/100),MOD($D10,100),0))),0),1)))</formula>
    </cfRule>
  </conditionalFormatting>
  <dataValidations count="2">
    <dataValidation type="list" allowBlank="1" showErrorMessage="1" errorTitle="Invalid entry" error="Enter Y or N only (or leave blank)." sqref="I10:I16" xr:uid="{00000000-0002-0000-0000-000000000000}">
      <formula1>"Y,N"</formula1>
      <formula2>0</formula2>
    </dataValidation>
    <dataValidation type="custom" allowBlank="1" showInputMessage="1" showErrorMessage="1" errorTitle="That is not a valid code" error="Type one of three things. A project code: three capital letters then nine digits, for example ERI202607135. Or INT for non-billable time. Or one of the nine LBR codes. Nothing else is accepted." promptTitle="Project Code" prompt="Three capitals then nine digits, for example ERI202607135. Or INT for non-billable time." sqref="C10:C16" xr:uid="{00000000-0002-0000-0000-000001000000}">
      <formula1>OR(C10="",C10="INT",COUNTIF(CODELIST,C10)&gt;0,AND(LEN(C10)=12,EXACT(C10,UPPER(C10)),ISNUMBER(VALUE(MID(C10,4,9))),ISERROR(VALUE(LEFT(C10,3)))))</formula1>
    </dataValidation>
  </dataValidations>
  <printOptions horizontalCentered="1"/>
  <pageMargins left="0.2" right="0.2" top="0.2" bottom="0.2" header="0.511811023622047" footer="0.511811023622047"/>
  <pageSetup fitToHeight="0"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pageSetUpPr fitToPage="1"/>
  </sheetPr>
  <dimension ref="A2:G59"/>
  <sheetViews>
    <sheetView showGridLines="0" workbookViewId="0">
      <pane ySplit="7" topLeftCell="A8" activePane="bottomLeft" state="frozen"/>
      <selection pane="bottomLeft"/>
    </sheetView>
  </sheetViews>
  <sheetFormatPr defaultRowHeight="14.4" x14ac:dyDescent="0.3"/>
  <cols>
    <col min="1" max="1" width="11" customWidth="1"/>
    <col min="2" max="2" width="30" customWidth="1"/>
    <col min="3" max="3" width="46" customWidth="1"/>
  </cols>
  <sheetData>
    <row r="2" spans="1:3" ht="22.05" customHeight="1" x14ac:dyDescent="0.4">
      <c r="A2" s="86" t="s">
        <v>50</v>
      </c>
      <c r="B2" s="52"/>
      <c r="C2" s="52"/>
    </row>
    <row r="3" spans="1:3" ht="1.95" customHeight="1" x14ac:dyDescent="0.3">
      <c r="A3" s="39"/>
      <c r="B3" s="39"/>
      <c r="C3" s="39"/>
    </row>
    <row r="4" spans="1:3" x14ac:dyDescent="0.3">
      <c r="A4" s="85" t="s">
        <v>51</v>
      </c>
      <c r="B4" s="52"/>
      <c r="C4" s="52"/>
    </row>
    <row r="5" spans="1:3" ht="42" customHeight="1" x14ac:dyDescent="0.3">
      <c r="A5" s="84" t="s">
        <v>52</v>
      </c>
      <c r="B5" s="52"/>
      <c r="C5" s="52"/>
    </row>
    <row r="7" spans="1:3" x14ac:dyDescent="0.3">
      <c r="A7" s="40" t="s">
        <v>53</v>
      </c>
      <c r="B7" s="40" t="s">
        <v>54</v>
      </c>
      <c r="C7" s="40" t="s">
        <v>55</v>
      </c>
    </row>
    <row r="8" spans="1:3" x14ac:dyDescent="0.3">
      <c r="A8" s="41" t="s">
        <v>56</v>
      </c>
      <c r="B8" s="42" t="s">
        <v>57</v>
      </c>
      <c r="C8" s="42" t="s">
        <v>58</v>
      </c>
    </row>
    <row r="9" spans="1:3" x14ac:dyDescent="0.3">
      <c r="A9" s="43" t="s">
        <v>59</v>
      </c>
      <c r="B9" s="44" t="s">
        <v>60</v>
      </c>
      <c r="C9" s="44" t="s">
        <v>61</v>
      </c>
    </row>
    <row r="10" spans="1:3" x14ac:dyDescent="0.3">
      <c r="A10" s="41" t="s">
        <v>62</v>
      </c>
      <c r="B10" s="42" t="s">
        <v>63</v>
      </c>
      <c r="C10" s="42" t="s">
        <v>64</v>
      </c>
    </row>
    <row r="11" spans="1:3" x14ac:dyDescent="0.3">
      <c r="A11" s="43" t="s">
        <v>65</v>
      </c>
      <c r="B11" s="44" t="s">
        <v>66</v>
      </c>
      <c r="C11" s="44" t="s">
        <v>67</v>
      </c>
    </row>
    <row r="12" spans="1:3" x14ac:dyDescent="0.3">
      <c r="A12" s="41" t="s">
        <v>68</v>
      </c>
      <c r="B12" s="42" t="s">
        <v>69</v>
      </c>
      <c r="C12" s="42" t="s">
        <v>70</v>
      </c>
    </row>
    <row r="13" spans="1:3" x14ac:dyDescent="0.3">
      <c r="A13" s="43" t="s">
        <v>71</v>
      </c>
      <c r="B13" s="44" t="s">
        <v>72</v>
      </c>
      <c r="C13" s="44" t="s">
        <v>73</v>
      </c>
    </row>
    <row r="14" spans="1:3" ht="27.6" x14ac:dyDescent="0.3">
      <c r="A14" s="41" t="s">
        <v>74</v>
      </c>
      <c r="B14" s="42" t="s">
        <v>75</v>
      </c>
      <c r="C14" s="42" t="s">
        <v>76</v>
      </c>
    </row>
    <row r="15" spans="1:3" x14ac:dyDescent="0.3">
      <c r="A15" s="43" t="s">
        <v>77</v>
      </c>
      <c r="B15" s="44" t="s">
        <v>78</v>
      </c>
      <c r="C15" s="44" t="s">
        <v>79</v>
      </c>
    </row>
    <row r="16" spans="1:3" x14ac:dyDescent="0.3">
      <c r="A16" s="41" t="s">
        <v>80</v>
      </c>
      <c r="B16" s="42" t="s">
        <v>81</v>
      </c>
      <c r="C16" s="42" t="s">
        <v>82</v>
      </c>
    </row>
    <row r="17" spans="1:7" x14ac:dyDescent="0.3">
      <c r="A17" s="45"/>
      <c r="B17" s="45"/>
      <c r="C17" s="45"/>
      <c r="D17" s="45"/>
      <c r="E17" s="45"/>
      <c r="F17" s="45"/>
      <c r="G17" s="45"/>
    </row>
    <row r="18" spans="1:7" x14ac:dyDescent="0.3">
      <c r="A18" s="45"/>
      <c r="B18" s="45"/>
      <c r="C18" s="45"/>
      <c r="D18" s="45"/>
      <c r="E18" s="45"/>
      <c r="F18" s="45"/>
      <c r="G18" s="45"/>
    </row>
    <row r="19" spans="1:7" x14ac:dyDescent="0.3">
      <c r="A19" s="45"/>
      <c r="B19" s="45"/>
      <c r="C19" s="45"/>
      <c r="D19" s="45"/>
      <c r="E19" s="45"/>
      <c r="F19" s="45"/>
      <c r="G19" s="45"/>
    </row>
    <row r="20" spans="1:7" x14ac:dyDescent="0.3">
      <c r="A20" s="45"/>
      <c r="B20" s="45"/>
      <c r="C20" s="45"/>
      <c r="D20" s="45"/>
      <c r="E20" s="45"/>
      <c r="F20" s="45"/>
      <c r="G20" s="45"/>
    </row>
    <row r="21" spans="1:7" x14ac:dyDescent="0.3">
      <c r="A21" s="45"/>
      <c r="B21" s="45"/>
      <c r="C21" s="45"/>
      <c r="D21" s="45"/>
      <c r="E21" s="45"/>
      <c r="F21" s="45"/>
      <c r="G21" s="45"/>
    </row>
    <row r="22" spans="1:7" x14ac:dyDescent="0.3">
      <c r="A22" s="45"/>
      <c r="B22" s="45"/>
      <c r="C22" s="45"/>
      <c r="D22" s="45"/>
      <c r="E22" s="45"/>
      <c r="F22" s="45"/>
      <c r="G22" s="45"/>
    </row>
    <row r="23" spans="1:7" x14ac:dyDescent="0.3">
      <c r="A23" s="45"/>
      <c r="B23" s="45"/>
      <c r="C23" s="45"/>
      <c r="D23" s="45"/>
      <c r="E23" s="45"/>
      <c r="F23" s="45"/>
      <c r="G23" s="45"/>
    </row>
    <row r="24" spans="1:7" x14ac:dyDescent="0.3">
      <c r="A24" s="45"/>
      <c r="B24" s="45"/>
      <c r="C24" s="45"/>
      <c r="D24" s="45"/>
      <c r="E24" s="45"/>
      <c r="F24" s="45"/>
      <c r="G24" s="45"/>
    </row>
    <row r="25" spans="1:7" x14ac:dyDescent="0.3">
      <c r="A25" s="45"/>
      <c r="B25" s="45"/>
      <c r="C25" s="45"/>
      <c r="D25" s="45"/>
      <c r="E25" s="45"/>
      <c r="F25" s="45"/>
      <c r="G25" s="45"/>
    </row>
    <row r="26" spans="1:7" x14ac:dyDescent="0.3">
      <c r="A26" s="45"/>
      <c r="B26" s="45"/>
      <c r="C26" s="45"/>
      <c r="D26" s="45"/>
      <c r="E26" s="45"/>
      <c r="F26" s="45"/>
      <c r="G26" s="45"/>
    </row>
    <row r="27" spans="1:7" x14ac:dyDescent="0.3">
      <c r="A27" s="45"/>
      <c r="B27" s="45"/>
      <c r="C27" s="45"/>
      <c r="D27" s="45"/>
      <c r="E27" s="45"/>
      <c r="F27" s="45"/>
      <c r="G27" s="45"/>
    </row>
    <row r="28" spans="1:7" x14ac:dyDescent="0.3">
      <c r="A28" s="45"/>
      <c r="B28" s="45"/>
      <c r="C28" s="45"/>
      <c r="D28" s="45"/>
      <c r="E28" s="45"/>
      <c r="F28" s="45"/>
      <c r="G28" s="45"/>
    </row>
    <row r="29" spans="1:7" x14ac:dyDescent="0.3">
      <c r="A29" s="45"/>
      <c r="B29" s="45"/>
      <c r="C29" s="45"/>
      <c r="D29" s="45"/>
      <c r="E29" s="45"/>
      <c r="F29" s="45"/>
      <c r="G29" s="45"/>
    </row>
    <row r="30" spans="1:7" x14ac:dyDescent="0.3">
      <c r="A30" s="45"/>
      <c r="B30" s="45"/>
      <c r="C30" s="45"/>
      <c r="D30" s="45"/>
      <c r="E30" s="45"/>
      <c r="F30" s="45"/>
      <c r="G30" s="45"/>
    </row>
    <row r="31" spans="1:7" x14ac:dyDescent="0.3">
      <c r="A31" s="45"/>
      <c r="B31" s="45"/>
      <c r="C31" s="45"/>
      <c r="D31" s="45"/>
      <c r="E31" s="45"/>
      <c r="F31" s="45"/>
      <c r="G31" s="45"/>
    </row>
    <row r="32" spans="1:7" x14ac:dyDescent="0.3">
      <c r="A32" s="45"/>
      <c r="B32" s="45"/>
      <c r="C32" s="45"/>
      <c r="D32" s="45"/>
      <c r="E32" s="45"/>
      <c r="F32" s="45"/>
      <c r="G32" s="45"/>
    </row>
    <row r="33" spans="1:7" x14ac:dyDescent="0.3">
      <c r="A33" s="45"/>
      <c r="B33" s="45"/>
      <c r="C33" s="45"/>
      <c r="D33" s="45"/>
      <c r="E33" s="45"/>
      <c r="F33" s="45"/>
      <c r="G33" s="45"/>
    </row>
    <row r="34" spans="1:7" x14ac:dyDescent="0.3">
      <c r="A34" s="45"/>
      <c r="B34" s="45"/>
      <c r="C34" s="45"/>
      <c r="D34" s="45"/>
      <c r="E34" s="45"/>
      <c r="F34" s="45"/>
      <c r="G34" s="45"/>
    </row>
    <row r="35" spans="1:7" x14ac:dyDescent="0.3">
      <c r="A35" s="45"/>
      <c r="B35" s="45"/>
      <c r="C35" s="45"/>
      <c r="D35" s="45"/>
      <c r="E35" s="45"/>
      <c r="F35" s="45"/>
      <c r="G35" s="45"/>
    </row>
    <row r="36" spans="1:7" x14ac:dyDescent="0.3">
      <c r="A36" s="45"/>
      <c r="B36" s="45"/>
      <c r="C36" s="45"/>
      <c r="D36" s="45"/>
      <c r="E36" s="45"/>
      <c r="F36" s="45"/>
      <c r="G36" s="45"/>
    </row>
    <row r="37" spans="1:7" x14ac:dyDescent="0.3">
      <c r="A37" s="45"/>
      <c r="B37" s="45"/>
      <c r="C37" s="45"/>
      <c r="D37" s="45"/>
      <c r="E37" s="45"/>
      <c r="F37" s="45"/>
      <c r="G37" s="45"/>
    </row>
    <row r="38" spans="1:7" x14ac:dyDescent="0.3">
      <c r="A38" s="45"/>
      <c r="B38" s="45"/>
      <c r="C38" s="45"/>
      <c r="D38" s="45"/>
      <c r="E38" s="45"/>
      <c r="F38" s="45"/>
      <c r="G38" s="45"/>
    </row>
    <row r="39" spans="1:7" x14ac:dyDescent="0.3">
      <c r="A39" s="45"/>
      <c r="B39" s="45"/>
      <c r="C39" s="45"/>
      <c r="D39" s="45"/>
      <c r="E39" s="45"/>
      <c r="F39" s="45"/>
      <c r="G39" s="45"/>
    </row>
    <row r="40" spans="1:7" x14ac:dyDescent="0.3">
      <c r="A40" s="45"/>
      <c r="B40" s="45"/>
      <c r="C40" s="45"/>
      <c r="D40" s="45"/>
      <c r="E40" s="45"/>
      <c r="F40" s="45"/>
      <c r="G40" s="45"/>
    </row>
    <row r="41" spans="1:7" x14ac:dyDescent="0.3">
      <c r="A41" s="45"/>
      <c r="B41" s="45"/>
      <c r="C41" s="45"/>
      <c r="D41" s="45"/>
      <c r="E41" s="45"/>
      <c r="F41" s="45"/>
      <c r="G41" s="45"/>
    </row>
    <row r="42" spans="1:7" x14ac:dyDescent="0.3">
      <c r="A42" s="45"/>
      <c r="B42" s="45"/>
      <c r="C42" s="45"/>
      <c r="D42" s="45"/>
      <c r="E42" s="45"/>
      <c r="F42" s="45"/>
      <c r="G42" s="45"/>
    </row>
    <row r="43" spans="1:7" x14ac:dyDescent="0.3">
      <c r="A43" s="45"/>
      <c r="B43" s="45"/>
      <c r="C43" s="45"/>
      <c r="D43" s="45"/>
      <c r="E43" s="45"/>
      <c r="F43" s="45"/>
      <c r="G43" s="45"/>
    </row>
    <row r="44" spans="1:7" x14ac:dyDescent="0.3">
      <c r="A44" s="45"/>
      <c r="B44" s="45"/>
      <c r="C44" s="45"/>
      <c r="D44" s="45"/>
      <c r="E44" s="45"/>
      <c r="F44" s="45"/>
      <c r="G44" s="45"/>
    </row>
    <row r="45" spans="1:7" x14ac:dyDescent="0.3">
      <c r="A45" s="45"/>
      <c r="B45" s="45"/>
      <c r="C45" s="45"/>
      <c r="D45" s="45"/>
      <c r="E45" s="45"/>
      <c r="F45" s="45"/>
      <c r="G45" s="45"/>
    </row>
    <row r="46" spans="1:7" x14ac:dyDescent="0.3">
      <c r="A46" s="45"/>
      <c r="B46" s="45"/>
      <c r="C46" s="45"/>
      <c r="D46" s="45"/>
      <c r="E46" s="45"/>
      <c r="F46" s="45"/>
      <c r="G46" s="45"/>
    </row>
    <row r="47" spans="1:7" x14ac:dyDescent="0.3">
      <c r="A47" s="45"/>
      <c r="B47" s="45"/>
      <c r="C47" s="45"/>
      <c r="D47" s="45"/>
      <c r="E47" s="45"/>
      <c r="F47" s="45"/>
      <c r="G47" s="45"/>
    </row>
    <row r="48" spans="1:7" x14ac:dyDescent="0.3">
      <c r="A48" s="45"/>
      <c r="B48" s="45"/>
      <c r="C48" s="45"/>
      <c r="D48" s="45"/>
      <c r="E48" s="45"/>
      <c r="F48" s="45"/>
      <c r="G48" s="45"/>
    </row>
    <row r="49" spans="1:7" x14ac:dyDescent="0.3">
      <c r="A49" s="45"/>
      <c r="B49" s="45"/>
      <c r="C49" s="45"/>
      <c r="D49" s="45"/>
      <c r="E49" s="45"/>
      <c r="F49" s="45"/>
      <c r="G49" s="45"/>
    </row>
    <row r="50" spans="1:7" x14ac:dyDescent="0.3">
      <c r="A50" s="45"/>
      <c r="B50" s="45"/>
      <c r="C50" s="45"/>
      <c r="D50" s="45"/>
      <c r="E50" s="45"/>
      <c r="F50" s="45"/>
      <c r="G50" s="45"/>
    </row>
    <row r="51" spans="1:7" x14ac:dyDescent="0.3">
      <c r="A51" s="45"/>
      <c r="B51" s="45"/>
      <c r="C51" s="45"/>
      <c r="D51" s="45"/>
      <c r="E51" s="45"/>
      <c r="F51" s="45"/>
      <c r="G51" s="45"/>
    </row>
    <row r="52" spans="1:7" x14ac:dyDescent="0.3">
      <c r="A52" s="45"/>
      <c r="B52" s="45"/>
      <c r="C52" s="45"/>
      <c r="D52" s="45"/>
      <c r="E52" s="45"/>
      <c r="F52" s="45"/>
      <c r="G52" s="45"/>
    </row>
    <row r="53" spans="1:7" x14ac:dyDescent="0.3">
      <c r="A53" s="45"/>
      <c r="B53" s="45"/>
      <c r="C53" s="45"/>
      <c r="D53" s="45"/>
      <c r="E53" s="45"/>
      <c r="F53" s="45"/>
      <c r="G53" s="45"/>
    </row>
    <row r="54" spans="1:7" x14ac:dyDescent="0.3">
      <c r="A54" s="45"/>
      <c r="B54" s="45"/>
      <c r="C54" s="45"/>
      <c r="D54" s="45"/>
      <c r="E54" s="45"/>
      <c r="F54" s="45"/>
      <c r="G54" s="45"/>
    </row>
    <row r="55" spans="1:7" x14ac:dyDescent="0.3">
      <c r="A55" s="45"/>
      <c r="B55" s="45"/>
      <c r="C55" s="45"/>
      <c r="D55" s="45"/>
      <c r="E55" s="45"/>
      <c r="F55" s="45"/>
      <c r="G55" s="45"/>
    </row>
    <row r="56" spans="1:7" x14ac:dyDescent="0.3">
      <c r="A56" s="45"/>
      <c r="B56" s="45"/>
      <c r="C56" s="45"/>
      <c r="D56" s="45"/>
      <c r="E56" s="45"/>
      <c r="F56" s="45"/>
      <c r="G56" s="45"/>
    </row>
    <row r="57" spans="1:7" x14ac:dyDescent="0.3">
      <c r="A57" s="45"/>
      <c r="B57" s="45"/>
      <c r="C57" s="45"/>
      <c r="D57" s="45"/>
      <c r="E57" s="45"/>
      <c r="F57" s="45"/>
      <c r="G57" s="45"/>
    </row>
    <row r="58" spans="1:7" x14ac:dyDescent="0.3">
      <c r="A58" s="45"/>
      <c r="B58" s="45"/>
      <c r="C58" s="45"/>
      <c r="D58" s="45"/>
      <c r="E58" s="45"/>
      <c r="F58" s="45"/>
      <c r="G58" s="45"/>
    </row>
    <row r="59" spans="1:7" x14ac:dyDescent="0.3">
      <c r="A59" s="45"/>
      <c r="B59" s="45"/>
      <c r="C59" s="45"/>
      <c r="D59" s="45"/>
      <c r="E59" s="45"/>
      <c r="F59" s="45"/>
      <c r="G59" s="45"/>
    </row>
  </sheetData>
  <sheetProtection sheet="1" formatCells="0" insertRows="0" deleteRows="0" selectLockedCells="1" selectUnlockedCells="1"/>
  <autoFilter ref="A7:C16" xr:uid="{00000000-0009-0000-0000-000001000000}"/>
  <mergeCells count="3">
    <mergeCell ref="A5:C5"/>
    <mergeCell ref="A4:C4"/>
    <mergeCell ref="A2:C2"/>
  </mergeCells>
  <pageMargins left="0.75" right="0.75" top="1" bottom="1" header="0.5" footer="0.5"/>
  <pageSetup fitToHeight="0"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Timesheet</vt:lpstr>
      <vt:lpstr>Code List</vt:lpstr>
      <vt:lpstr>'Code List'!Print_Area</vt:lpstr>
      <vt:lpstr>Timesheet!Print_Area</vt:lpstr>
      <vt:lpstr>'Code List'!Print_Titles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Izza Karim</cp:lastModifiedBy>
  <cp:revision>0</cp:revision>
  <dcterms:created xsi:type="dcterms:W3CDTF">2026-07-16T17:44:46Z</dcterms:created>
  <dcterms:modified xsi:type="dcterms:W3CDTF">2026-08-25T22:33:16Z</dcterms:modified>
  <dc:language>en-US</dc:language>
</cp:coreProperties>
</file>